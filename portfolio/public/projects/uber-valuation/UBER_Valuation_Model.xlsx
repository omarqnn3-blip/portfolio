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ources" sheetId="2" state="visible" r:id="rId4"/>
    <sheet name="Historical Financials" sheetId="3" state="visible" r:id="rId5"/>
    <sheet name="Assumptions" sheetId="4" state="visible" r:id="rId6"/>
    <sheet name="Forecast" sheetId="5" state="visible" r:id="rId7"/>
    <sheet name="Valuation" sheetId="6" state="visible" r:id="rId8"/>
    <sheet name="Scenario Analysis" sheetId="7" state="visible" r:id="rId9"/>
    <sheet name="Sensitivity Tables" sheetId="8" state="visible" r:id="rId10"/>
    <sheet name="Char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7" authorId="0">
      <text>
        <r>
          <rPr>
            <sz val="10"/>
            <rFont val="Arial"/>
            <family val="2"/>
          </rPr>
          <t xml:space="preserve">Source: Uber FY2025 8-K Ex-99.1, Condensed Consolidated Statements of Operations.</t>
        </r>
      </text>
    </comment>
    <comment ref="F5" authorId="0">
      <text>
        <r>
          <rPr>
            <sz val="10"/>
            <rFont val="Arial"/>
            <family val="2"/>
          </rPr>
          <t xml:space="preserve">Source: Uber FY2024 8-K Ex-99.1. GB $162,773M.</t>
        </r>
      </text>
    </comment>
    <comment ref="G5" authorId="0">
      <text>
        <r>
          <rPr>
            <sz val="10"/>
            <rFont val="Arial"/>
            <family val="2"/>
          </rPr>
          <t xml:space="preserve">Source: Uber FY2025 8-K Ex-99.1, full-year highlights, 2/4/2026. GB $193,454M.</t>
        </r>
      </text>
    </comment>
    <comment ref="G7" authorId="0">
      <text>
        <r>
          <rPr>
            <sz val="10"/>
            <rFont val="Arial"/>
            <family val="2"/>
          </rPr>
          <t xml:space="preserve">Source: Uber FY2025 8-K Ex-99.1. Revenue $52,017M.</t>
        </r>
      </text>
    </comment>
    <comment ref="G10" authorId="0">
      <text>
        <r>
          <rPr>
            <sz val="10"/>
            <rFont val="Arial"/>
            <family val="2"/>
          </rPr>
          <t xml:space="preserve">Source: Uber FY2025 8-K Ex-99.1. Adj EBITDA $8,730M.</t>
        </r>
      </text>
    </comment>
    <comment ref="G15" authorId="0">
      <text>
        <r>
          <rPr>
            <sz val="10"/>
            <rFont val="Arial"/>
            <family val="2"/>
          </rPr>
          <t xml:space="preserve">Source: Uber FY2025 8-K Ex-99.1. FCF $9,763M.</t>
        </r>
      </text>
    </comment>
    <comment ref="I27" authorId="0">
      <text>
        <r>
          <rPr>
            <sz val="10"/>
            <rFont val="Arial"/>
            <family val="2"/>
          </rPr>
          <t xml:space="preserve">Source: Uber FY2025 8-K Ex-99.1, Condensed Consolidated Balance Sheets.</t>
        </r>
      </text>
    </comment>
  </commentList>
</comments>
</file>

<file path=xl/sharedStrings.xml><?xml version="1.0" encoding="utf-8"?>
<sst xmlns="http://schemas.openxmlformats.org/spreadsheetml/2006/main" count="350" uniqueCount="280">
  <si>
    <t xml:space="preserve">UBER TECHNOLOGIES (NYSE: UBER) — INVESTMENT MEMO DASHBOARD</t>
  </si>
  <si>
    <t xml:space="preserve">Portfolio case study by Omar Quinn. NOT investment advice. Figures link to the model tabs; every input is sourced on the Sources tab.</t>
  </si>
  <si>
    <t xml:space="preserve">RECOMMENDATION</t>
  </si>
  <si>
    <t xml:space="preserve">CENTRAL QUESTION</t>
  </si>
  <si>
    <t xml:space="preserve">Qualified BUY / Accumulate (Constructive)</t>
  </si>
  <si>
    <t xml:space="preserve">Is Uber attractively valued on growth, margin expansion, FCF generation and risk? Base case: yes, with meaningful upside — but the autonomous-vehicle bear case is severe, so position sizing and monitoring are essential.</t>
  </si>
  <si>
    <t xml:space="preserve">VALUATION SCORECARD</t>
  </si>
  <si>
    <t xml:space="preserve">Current share price</t>
  </si>
  <si>
    <t xml:space="preserve">Bear case (downside stress)</t>
  </si>
  <si>
    <t xml:space="preserve">KEY FY2025 METRICS (US$mm)</t>
  </si>
  <si>
    <t xml:space="preserve">Base case fair value</t>
  </si>
  <si>
    <t xml:space="preserve">Gross Bookings</t>
  </si>
  <si>
    <t xml:space="preserve">Bull case fair value</t>
  </si>
  <si>
    <t xml:space="preserve">Revenue</t>
  </si>
  <si>
    <t xml:space="preserve">Probability-weighted fair value</t>
  </si>
  <si>
    <t xml:space="preserve">Adjusted EBITDA</t>
  </si>
  <si>
    <t xml:space="preserve">Base-case upside / (downside)</t>
  </si>
  <si>
    <t xml:space="preserve">Free cash flow (reported)</t>
  </si>
  <si>
    <t xml:space="preserve">Prob-weighted upside / (downside)</t>
  </si>
  <si>
    <t xml:space="preserve">Net income (attributable)</t>
  </si>
  <si>
    <t xml:space="preserve">INVESTMENT THESIS (5 POINTS)</t>
  </si>
  <si>
    <t xml:space="preserve">FY2025 take rate ≈ 26.9%; FCF up sharply YoY; first full GAAP-profitable year aided by a deferred-tax benefit.</t>
  </si>
  <si>
    <t xml:space="preserve">1. Category-leading two-sided marketplace in Mobility + Delivery with deepening network effects and Uber One cross-sell.</t>
  </si>
  <si>
    <t xml:space="preserve">2. Operating leverage: Adj. EBITDA margin on gross bookings is still expanding from a low base as fixed costs scale.</t>
  </si>
  <si>
    <t xml:space="preserve">3. Free-cash-flow inflection — FCF has gone from negative (2021) to multi-billion positive, with high EBITDA-to-FCF conversion.</t>
  </si>
  <si>
    <t xml:space="preserve">4. Asset-light model (low capex) and ~$7.6bn cash give optionality and buyback capacity ($3bn repurchase underway).</t>
  </si>
  <si>
    <t xml:space="preserve">KPIs TO MONITOR NEXT QUARTER</t>
  </si>
  <si>
    <t xml:space="preserve">5. Embedded optionality in equity stakes (Aurora/Grab/Didi) and AV partnerships rather than owning the AV stack.</t>
  </si>
  <si>
    <t xml:space="preserve">• Gross-bookings growth (cc) vs guidance of ~18–22%.</t>
  </si>
  <si>
    <t xml:space="preserve">• Mobility &amp; Delivery segment Adj. EBITDA margin trajectory.</t>
  </si>
  <si>
    <t xml:space="preserve">TOP RISKS / BEAR CASE</t>
  </si>
  <si>
    <t xml:space="preserve">• FCF conversion and buyback pace.</t>
  </si>
  <si>
    <t xml:space="preserve">• Autonomous-vehicle disruption — Waymo/Tesla could disintermediate drivers and compress Mobility economics.</t>
  </si>
  <si>
    <t xml:space="preserve">• AV partnership rollout / city launches and any driver-supply impact.</t>
  </si>
  <si>
    <t xml:space="preserve">• Regulatory &amp; labor — driver-classification rulings (e.g. NYC) raise cost or reclassify the workforce.</t>
  </si>
  <si>
    <t xml:space="preserve">• Regulatory headlines (labor classification, antitrust).</t>
  </si>
  <si>
    <t xml:space="preserve">• Competition &amp; margin pressure — incentives war in Delivery / rideshare caps take rate and EBITDA margin.</t>
  </si>
  <si>
    <t xml:space="preserve">• Multiple compression — a high terminal-value share of DCF means rich-but-fragile to WACC / growth shifts.</t>
  </si>
  <si>
    <t xml:space="preserve">WHAT THE MARKET MAY BE MIS-PRICING</t>
  </si>
  <si>
    <t xml:space="preserve">• Macro sensitivity — discretionary mobility &amp; delivery demand soften in a downturn.</t>
  </si>
  <si>
    <t xml:space="preserve">Bear view (priced in the ~28% drawdown from the 2025 high): AV competition structurally caps Uber. Bull view: Uber's demand aggregation, data and Uber One make it the default AV demand layer, monetising fleets it doesn't own. The wide bear-to-bull spread is the debate; the probability-weighted value sits modestly above the current price.</t>
  </si>
  <si>
    <t xml:space="preserve">DISCLAIMER</t>
  </si>
  <si>
    <t xml:space="preserve">Educational portfolio case study only — NOT investment advice and not a recommendation to buy or sell any security. The author is not a licensed financial advisor. All figures are from cited public filings (see Sources tab) or are clearly labelled assumptions. Forward estimates are illustrative and will differ from actual results.</t>
  </si>
  <si>
    <t xml:space="preserve">UBER TECHNOLOGIES, INC. (NYSE: UBER) — Investment Memo &amp; Downside Valuation Stress Test</t>
  </si>
  <si>
    <t xml:space="preserve">Sources &amp; data provenance  |  Portfolio case study by Omar Quinn  |  NOT investment advice  |  Prepared June 2026</t>
  </si>
  <si>
    <t xml:space="preserve">All historical financials below are taken directly from Uber's SEC filings and earnings releases. Forward-looking assumptions in this model are the analyst's own estimates (flagged BLUE) and are NOT company guidance except where explicitly labelled. Figures in US$ millions unless stated.</t>
  </si>
  <si>
    <t xml:space="preserve">#</t>
  </si>
  <si>
    <t xml:space="preserve">Data / item used</t>
  </si>
  <si>
    <t xml:space="preserve">Source document</t>
  </si>
  <si>
    <t xml:space="preserve">Period / date</t>
  </si>
  <si>
    <t xml:space="preserve">Reference URL</t>
  </si>
  <si>
    <t xml:space="preserve">FY2025 &amp; FY2024 full-year revenue, gross bookings, adj. EBITDA, FCF, segment splits, balance sheet, income statement</t>
  </si>
  <si>
    <t xml:space="preserve">Form 8-K (Ex-99.1) — Q4 &amp; FY2025 earnings release</t>
  </si>
  <si>
    <t xml:space="preserve">Year ended 12/31/2025 (rel. 2/4/2026)</t>
  </si>
  <si>
    <t xml:space="preserve">sec.gov/Archives/edgar/data/1543151/000154315126000011/uberq425earningspressrelea.htm</t>
  </si>
  <si>
    <t xml:space="preserve">Q1 2026 revenue, gross bookings, adj. EBITDA, FCF, cash, buyback, Q2 2026 guidance</t>
  </si>
  <si>
    <t xml:space="preserve">Form 8-K (Ex-99.1) — Q1 2026 earnings release</t>
  </si>
  <si>
    <t xml:space="preserve">Quarter ended 3/31/2026 (rel. 5/6/2026)</t>
  </si>
  <si>
    <t xml:space="preserve">sec.gov/Archives/edgar/data/1543151/000154315126000019/uberq126earningspressrelea.htm</t>
  </si>
  <si>
    <t xml:space="preserve">FY2025 Annual Report financial &amp; operational highlights (MAPCs, trips, GB, revenue, EBITDA, FCF)</t>
  </si>
  <si>
    <t xml:space="preserve">Form ARS / 10-K — FY2025</t>
  </si>
  <si>
    <t xml:space="preserve">Year ended 12/31/2025</t>
  </si>
  <si>
    <t xml:space="preserve">sec.gov/Archives/edgar/data/1543151/000155278126000148/e26089_uber-ars.pdf</t>
  </si>
  <si>
    <t xml:space="preserve">Form 10-K FY2025 (risk factors, debt schedule, segment detail)</t>
  </si>
  <si>
    <t xml:space="preserve">Form 10-K — FY2025</t>
  </si>
  <si>
    <t xml:space="preserve">Filed Feb 2026</t>
  </si>
  <si>
    <t xml:space="preserve">sec.gov/Archives/edgar/data/1543151/000154315126000015/uber-20251231.htm</t>
  </si>
  <si>
    <t xml:space="preserve">FY2024 full-year results (prior-year comparison)</t>
  </si>
  <si>
    <t xml:space="preserve">Form 8-K (Ex-99.1) — Q4 &amp; FY2024 earnings release</t>
  </si>
  <si>
    <t xml:space="preserve">Year ended 12/31/2024</t>
  </si>
  <si>
    <t xml:space="preserve">sec.gov/Archives/edgar/data/1543151/000154315125000004/uberq424earningspressrelea.htm</t>
  </si>
  <si>
    <t xml:space="preserve">FY2023 results (revenue $37.3B, GB $137.9B, adj EBITDA $4.05B, FCF $3.36B)</t>
  </si>
  <si>
    <t xml:space="preserve">Uber Q4/FY2023 earnings release + 10-K</t>
  </si>
  <si>
    <t xml:space="preserve">Year ended 12/31/2023</t>
  </si>
  <si>
    <t xml:space="preserve">sec.gov / investor.uber.com</t>
  </si>
  <si>
    <t xml:space="preserve">FY2022 results (revenue $31.9B, GB $115.4B, adj EBITDA $1.71B, FCF $0.39B)</t>
  </si>
  <si>
    <t xml:space="preserve">Form 8-K (Ex-99.1) — Q4 &amp; FY2022 earnings release</t>
  </si>
  <si>
    <t xml:space="preserve">Year ended 12/31/2022</t>
  </si>
  <si>
    <t xml:space="preserve">sec.gov/Archives/edgar/data/1543151/000154315123000004/uberq422earningspressrelea.htm</t>
  </si>
  <si>
    <t xml:space="preserve">FY2021 results (revenue $17.5B, GB $90.4B, adj EBITDA -$0.77B, FCF -$0.74B)</t>
  </si>
  <si>
    <t xml:space="preserve">Form 8-K (Ex-99.1) — Q4 &amp; FY2021 earnings release</t>
  </si>
  <si>
    <t xml:space="preserve">Year ended 12/31/2021</t>
  </si>
  <si>
    <t xml:space="preserve">sec.gov/Archives/edgar/data/1543151/000154315122000004/uberq421earningspressrelea.htm</t>
  </si>
  <si>
    <t xml:space="preserve">Current share price (~$73), market cap (~$149B), shares out (~2.04B), 52-wk range, analyst ratings</t>
  </si>
  <si>
    <t xml:space="preserve">Market data (CNBC / Macrotrends / Robinhood quote pages)</t>
  </si>
  <si>
    <t xml:space="preserve">As of ~June 12-13, 2026</t>
  </si>
  <si>
    <t xml:space="preserve">cnbc.com/quotes/UBER ; macrotrends.net/stocks/charts/UBER</t>
  </si>
  <si>
    <t xml:space="preserve">AV / robotaxi competitive context (Waymo expansion, Uber AV partnerships: Wayve, WeRide, Nuro, etc.)</t>
  </si>
  <si>
    <t xml:space="preserve">Company news &amp; press (CNBC, Reuters, TipRanks)</t>
  </si>
  <si>
    <t xml:space="preserve">May–June 2026</t>
  </si>
  <si>
    <t xml:space="preserve">investor.uber.com ; cnbc.com</t>
  </si>
  <si>
    <t xml:space="preserve">Disclaimer</t>
  </si>
  <si>
    <t xml:space="preserve">This workbook is an educational portfolio case study demonstrating valuation methodology. It is NOT investment advice, not a recommendation to buy or sell any security, and the author is not a licensed financial advisor. Forward estimates are illustrative assumptions and will differ from actual results.</t>
  </si>
  <si>
    <t xml:space="preserve">HISTORICAL FINANCIALS (FY2021–FY2025)</t>
  </si>
  <si>
    <t xml:space="preserve">All figures US$ millions unless noted. BLUE = reported actuals from SEC filings. BLACK = calculated.</t>
  </si>
  <si>
    <t xml:space="preserve">US$ millions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</si>
  <si>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</si>
  <si>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</si>
  <si>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</si>
  <si>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</si>
  <si>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</si>
  <si>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  % growth YoY</t>
  </si>
  <si>
    <t xml:space="preserve">  Take rate (Rev / GB)</t>
  </si>
  <si>
    <t xml:space="preserve">  Adj. EBITDA margin (% of GB)</t>
  </si>
  <si>
    <t xml:space="preserve">GAAP income from operations</t>
  </si>
  <si>
    <t xml:space="preserve">Operating cash flow</t>
  </si>
  <si>
    <t xml:space="preserve">Free cash flow</t>
  </si>
  <si>
    <t xml:space="preserve">  FCF margin (% of revenue)</t>
  </si>
  <si>
    <t xml:space="preserve">  FCF / Adj. EBITDA conversion</t>
  </si>
  <si>
    <t xml:space="preserve">Trips (millions)</t>
  </si>
  <si>
    <t xml:space="preserve">MAPCs, Q4 (millions)</t>
  </si>
  <si>
    <t xml:space="preserve">Memo: 5-yr CAGR (FY21–FY25)</t>
  </si>
  <si>
    <t xml:space="preserve">  Gross Bookings CAGR</t>
  </si>
  <si>
    <t xml:space="preserve">  Revenue CAGR</t>
  </si>
  <si>
    <t xml:space="preserve">  Adj. EBITDA grew from negative to</t>
  </si>
  <si>
    <t xml:space="preserve">FY2025 GAAP Income Statement detail (US$mm)</t>
  </si>
  <si>
    <t xml:space="preserve">Balance sheet @ 12/31/2025 (US$mm)</t>
  </si>
  <si>
    <t xml:space="preserve">Cash &amp; cash equivalents</t>
  </si>
  <si>
    <t xml:space="preserve">Cost of revenue (excl. D&amp;A)</t>
  </si>
  <si>
    <t xml:space="preserve">Short-term investments</t>
  </si>
  <si>
    <t xml:space="preserve">Operations &amp; support</t>
  </si>
  <si>
    <t xml:space="preserve">Unrestricted cash + ST inv.</t>
  </si>
  <si>
    <t xml:space="preserve">Sales &amp; marketing</t>
  </si>
  <si>
    <t xml:space="preserve">Long-term debt (net of current)</t>
  </si>
  <si>
    <t xml:space="preserve">Research &amp; development</t>
  </si>
  <si>
    <t xml:space="preserve">Non-op. equity investments</t>
  </si>
  <si>
    <t xml:space="preserve">General &amp; administrative</t>
  </si>
  <si>
    <t xml:space="preserve">Total equity</t>
  </si>
  <si>
    <t xml:space="preserve">Depreciation &amp; amortization</t>
  </si>
  <si>
    <t xml:space="preserve">Total assets</t>
  </si>
  <si>
    <t xml:space="preserve">Income from operations</t>
  </si>
  <si>
    <t xml:space="preserve">Interest expense</t>
  </si>
  <si>
    <t xml:space="preserve">Net debt (debt – unrestricted cash)</t>
  </si>
  <si>
    <t xml:space="preserve">Interest income</t>
  </si>
  <si>
    <t xml:space="preserve">Other income (expense), net</t>
  </si>
  <si>
    <t xml:space="preserve">Pre-tax income</t>
  </si>
  <si>
    <t xml:space="preserve">Tax benefit (incl. $5.0B valuation release)</t>
  </si>
  <si>
    <t xml:space="preserve">Loss from equity-method investments</t>
  </si>
  <si>
    <t xml:space="preserve">Net income (incl. NCI)</t>
  </si>
  <si>
    <t xml:space="preserve">ASSUMPTIONS &amp; SCENARIO DRIVERS</t>
  </si>
  <si>
    <t xml:space="preserve">BLUE = analyst input (editable). These are illustrative estimates, NOT Uber guidance. Change blue cells to re-run the model.</t>
  </si>
  <si>
    <t xml:space="preserve">GLOBAL ASSUMPTIONS (constant across scenarios)</t>
  </si>
  <si>
    <t xml:space="preserve">Take rate (Revenue / Gross Bookings)</t>
  </si>
  <si>
    <t xml:space="preserve">2025 actual 26.9%; held ~flat</t>
  </si>
  <si>
    <t xml:space="preserve">Depreciation &amp; amortization (% of revenue)</t>
  </si>
  <si>
    <t xml:space="preserve">2025 actual ~1.38% (asset-light)</t>
  </si>
  <si>
    <t xml:space="preserve">Shares outstanding (millions, diluted)</t>
  </si>
  <si>
    <t xml:space="preserve">~Current diluted share count, mid-2026</t>
  </si>
  <si>
    <t xml:space="preserve">Current share price ($)</t>
  </si>
  <si>
    <t xml:space="preserve">Approx. as of ~June 13, 2026</t>
  </si>
  <si>
    <t xml:space="preserve">Total debt (US$mm)</t>
  </si>
  <si>
    <t xml:space="preserve">FY2025 long-term debt, net of current</t>
  </si>
  <si>
    <t xml:space="preserve">Unrestricted cash + ST investments (US$mm)</t>
  </si>
  <si>
    <t xml:space="preserve">FY2025: $7,105 cash + $528 ST inv</t>
  </si>
  <si>
    <t xml:space="preserve">Net debt (US$mm)</t>
  </si>
  <si>
    <t xml:space="preserve">Total debt less unrestricted cash &amp; ST investments</t>
  </si>
  <si>
    <t xml:space="preserve">Non-operating equity investments (US$mm)</t>
  </si>
  <si>
    <t xml:space="preserve">Aurora/Grab/Didi etc. minority stakes</t>
  </si>
  <si>
    <t xml:space="preserve">Equity-stake haircut (illiquidity/volatility)</t>
  </si>
  <si>
    <t xml:space="preserve">Discount applied to carrying value</t>
  </si>
  <si>
    <t xml:space="preserve">Credited stake value (US$mm)</t>
  </si>
  <si>
    <t xml:space="preserve">Carrying value of stakes, less the haircut above</t>
  </si>
  <si>
    <t xml:space="preserve">SCENARIO DRIVERS</t>
  </si>
  <si>
    <t xml:space="preserve">Bear</t>
  </si>
  <si>
    <t xml:space="preserve">Base</t>
  </si>
  <si>
    <t xml:space="preserve">Bull</t>
  </si>
  <si>
    <t xml:space="preserve">Gross Bookings growth — 2026E</t>
  </si>
  <si>
    <t xml:space="preserve">Gross Bookings growth — 2027E</t>
  </si>
  <si>
    <t xml:space="preserve">Gross Bookings growth — 2028E</t>
  </si>
  <si>
    <t xml:space="preserve">Gross Bookings growth — 2029E</t>
  </si>
  <si>
    <t xml:space="preserve">Gross Bookings growth — 2030E</t>
  </si>
  <si>
    <t xml:space="preserve">Adj. EBITDA margin (%GB) — 2026E</t>
  </si>
  <si>
    <t xml:space="preserve">Adj. EBITDA margin (%GB) — 2027E</t>
  </si>
  <si>
    <t xml:space="preserve">Adj. EBITDA margin (%GB) — 2028E</t>
  </si>
  <si>
    <t xml:space="preserve">Adj. EBITDA margin (%GB) — 2029E</t>
  </si>
  <si>
    <t xml:space="preserve">Adj. EBITDA margin (%GB) — 2030E</t>
  </si>
  <si>
    <t xml:space="preserve">Stock-based comp (% of revenue)</t>
  </si>
  <si>
    <t xml:space="preserve">Capex (% of revenue)</t>
  </si>
  <si>
    <t xml:space="preserve">Working-capital change (% of revenue)</t>
  </si>
  <si>
    <t xml:space="preserve">Cash tax rate</t>
  </si>
  <si>
    <t xml:space="preserve">WACC (discount rate)</t>
  </si>
  <si>
    <t xml:space="preserve">Terminal growth rate</t>
  </si>
  <si>
    <t xml:space="preserve">Exit EV/EBITDA multiple (cross-check)</t>
  </si>
  <si>
    <t xml:space="preserve">Scenario probability weight</t>
  </si>
  <si>
    <t xml:space="preserve">  Probability check (should = 100%)</t>
  </si>
  <si>
    <t xml:space="preserve">5-YEAR FORECAST — BASE CASE (US$mm)</t>
  </si>
  <si>
    <t xml:space="preserve">Drivers link to Assumptions 'Base' column (GREEN). 2025A links to Historical Financials. All else are formulas.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</si>
  <si>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</si>
  <si>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</si>
  <si>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</si>
  <si>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</si>
  <si>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</si>
  <si>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</si>
  <si>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  GB growth (driver)</t>
  </si>
  <si>
    <t xml:space="preserve">Adj. EBITDA</t>
  </si>
  <si>
    <t xml:space="preserve">  Adj. EBITDA margin (%GB)</t>
  </si>
  <si>
    <t xml:space="preserve">Less: stock-based comp</t>
  </si>
  <si>
    <t xml:space="preserve">Less: D&amp;A</t>
  </si>
  <si>
    <t xml:space="preserve">EBIT (post-SBC)</t>
  </si>
  <si>
    <t xml:space="preserve">Less: cash taxes</t>
  </si>
  <si>
    <t xml:space="preserve">NOPAT</t>
  </si>
  <si>
    <t xml:space="preserve">Plus: D&amp;A</t>
  </si>
  <si>
    <t xml:space="preserve">Less: capex</t>
  </si>
  <si>
    <t xml:space="preserve">+/- working capital</t>
  </si>
  <si>
    <t xml:space="preserve">Unlevered free cash flow</t>
  </si>
  <si>
    <t xml:space="preserve">  FCF margin (% revenue)</t>
  </si>
  <si>
    <t xml:space="preserve">Note: Adj. EBITDA excludes stock-based comp; this model treats SBC as a real cash/economic cost and deducts it before tax. Reported (company-defined) FCF is higher because it adds back SBC and benefits from favourable working-capital timing.</t>
  </si>
  <si>
    <t xml:space="preserve">DCF VALUATION — BASE CASE</t>
  </si>
  <si>
    <t xml:space="preserve">Unlevered free-cash-flow DCF off the Base-case forecast. GREEN = links to Forecast / Assumptions.</t>
  </si>
  <si>
    <t xml:space="preserve">Discounting of explicit free cash flows (2026E–2030E)</t>
  </si>
  <si>
    <t xml:space="preserve">Forecast year</t>
  </si>
  <si>
    <t xml:space="preserve">Unlevered FCF (US$mm)</t>
  </si>
  <si>
    <t xml:space="preserve">Discount period (t)</t>
  </si>
  <si>
    <t xml:space="preserve">Discount factor</t>
  </si>
  <si>
    <t xml:space="preserve">PV of FCF</t>
  </si>
  <si>
    <t xml:space="preserve">WACC</t>
  </si>
  <si>
    <t xml:space="preserve">Terminal growth rate (g)</t>
  </si>
  <si>
    <t xml:space="preserve">Sum PV of explicit FCF</t>
  </si>
  <si>
    <t xml:space="preserve">Terminal value (Gordon growth)</t>
  </si>
  <si>
    <t xml:space="preserve">PV of terminal value</t>
  </si>
  <si>
    <t xml:space="preserve">  Memo: terminal value as % of EV</t>
  </si>
  <si>
    <t xml:space="preserve">  Memo: TV via exit EV/EBITDA (cross-check)</t>
  </si>
  <si>
    <t xml:space="preserve">ENTERPRISE VALUE</t>
  </si>
  <si>
    <t xml:space="preserve">Less: net debt</t>
  </si>
  <si>
    <t xml:space="preserve">Plus: credited equity investments</t>
  </si>
  <si>
    <t xml:space="preserve">EQUITY VALUE</t>
  </si>
  <si>
    <t xml:space="preserve">Shares outstanding (mm)</t>
  </si>
  <si>
    <t xml:space="preserve">IMPLIED VALUE PER SHARE</t>
  </si>
  <si>
    <t xml:space="preserve">Implied upside / (downside)</t>
  </si>
  <si>
    <t xml:space="preserve">Implied-multiple cross-checks</t>
  </si>
  <si>
    <t xml:space="preserve">Implied EV / 2026E Adj. EBITDA</t>
  </si>
  <si>
    <t xml:space="preserve">Implied EV / 2030E Adj. EBITDA</t>
  </si>
  <si>
    <t xml:space="preserve">Implied EV / 2026E revenue</t>
  </si>
  <si>
    <t xml:space="preserve">Implied equity value / FY25 FCF (reported)</t>
  </si>
  <si>
    <t xml:space="preserve">Interpretation: the base case discounts Uber's unlevered FCF at a ~9.5% WACC with 3.0% terminal growth. Because terminal value is a large share of EV (typical for a compounding platform), the output is sensitive to WACC and terminal assumptions — see the Sensitivity Tables and Scenario Analysis tabs.</t>
  </si>
  <si>
    <t xml:space="preserve">SCENARIO ANALYSIS &amp; DOWNSIDE STRESS TEST</t>
  </si>
  <si>
    <t xml:space="preserve">Bull / Base / Bear each re-run the full DCF with its own growth, margin, FCF-conversion, WACC and terminal assumptions.</t>
  </si>
  <si>
    <t xml:space="preserve">SCENARIO COMPARISON (per-share outcomes)</t>
  </si>
  <si>
    <t xml:space="preserve">Metric</t>
  </si>
  <si>
    <t xml:space="preserve">2030E Gross Bookings (US$mm)</t>
  </si>
  <si>
    <t xml:space="preserve">2030E Adj. EBITDA (US$mm)</t>
  </si>
  <si>
    <t xml:space="preserve">Enterprise value (US$mm)</t>
  </si>
  <si>
    <t xml:space="preserve">Equity value (US$mm)</t>
  </si>
  <si>
    <t xml:space="preserve">Implied value per share ($)</t>
  </si>
  <si>
    <t xml:space="preserve">Upside / (downside) vs current</t>
  </si>
  <si>
    <t xml:space="preserve">Terminal value (PV, US$mm)</t>
  </si>
  <si>
    <t xml:space="preserve">Probability weight</t>
  </si>
  <si>
    <t xml:space="preserve">Probability-weighted fair value ($)</t>
  </si>
  <si>
    <t xml:space="preserve">Weighted upside:</t>
  </si>
  <si>
    <t xml:space="preserve">Read-through: the spread between the bear (~stress) and bull cases is wide because Uber's value hinges on whether its demand-aggregation model captures or is disrupted by autonomous vehicles. The bear case deliberately stacks slower bookings growth, margin stalling, weaker FCF conversion, a higher WACC and a lower terminal growth rate to size 'how much breaks if the thesis breaks.'</t>
  </si>
  <si>
    <t xml:space="preserve">BEAR CASE — downside stress test</t>
  </si>
  <si>
    <t xml:space="preserve">Unlevered FCF</t>
  </si>
  <si>
    <t xml:space="preserve">Sum PV explicit FCF</t>
  </si>
  <si>
    <t xml:space="preserve">Enterprise value</t>
  </si>
  <si>
    <t xml:space="preserve">Equity value</t>
  </si>
  <si>
    <t xml:space="preserve">Implied value / share</t>
  </si>
  <si>
    <t xml:space="preserve">Upside / (downside)</t>
  </si>
  <si>
    <t xml:space="preserve">BASE CASE</t>
  </si>
  <si>
    <t xml:space="preserve">BULL CASE</t>
  </si>
  <si>
    <t xml:space="preserve">VALUATION SENSITIVITY TABLES</t>
  </si>
  <si>
    <t xml:space="preserve">Implied value per share ($) under paired assumption shocks. Cells are live formulas off the Forecast / Scenario tabs. 'n/m' where WACC ≤ g.</t>
  </si>
  <si>
    <t xml:space="preserve">Table 1  —  Base-case implied share price:  WACC (rows)  ×  terminal growth g (columns)</t>
  </si>
  <si>
    <t xml:space="preserve">WACC \ term. g →</t>
  </si>
  <si>
    <t xml:space="preserve">Base point: WACC 9.5%, g 3.0% (highlighted). Terminal value is a large share of EV, so the price is most sensitive to this pair.</t>
  </si>
  <si>
    <t xml:space="preserve">Table 2  —  Implied share price:  Adj. EBITDA margin %GB (rows)  ×  uniform GB growth (columns)</t>
  </si>
  <si>
    <t xml:space="preserve">Holds WACC, terminal g, tax, SBC, capex &amp; WC at base; applies one constant margin &amp; growth for 2026–2030E.</t>
  </si>
  <si>
    <t xml:space="preserve">margin \ GB growth →</t>
  </si>
  <si>
    <t xml:space="preserve">Table 3  —  Implied share price:  exit EV/EBITDA (rows)  ×  FCF margin %revenue (columns)</t>
  </si>
  <si>
    <t xml:space="preserve">FCF_t = FCF-margin × base-forecast revenue; terminal value = exit multiple × 2030E Adj. EBITDA. WACC at base.</t>
  </si>
  <si>
    <t xml:space="preserve">exit x \ FCF margin →</t>
  </si>
  <si>
    <t xml:space="preserve">Table 4  —  Bear-case (downside) implied share price:  WACC (rows)  ×  terminal growth g (columns)</t>
  </si>
  <si>
    <t xml:space="preserve">Discounts the bear-case unlevered FCF path (Scenario tab). This frames 'how low can it go' if the thesis breaks.</t>
  </si>
  <si>
    <t xml:space="preserve">Across the bear grid the implied price clusters well below the current quote, quantifying the downside if autonomous-vehicle disruption and margin stalling materialise together. Compare against Table 1 to see the full bear-to-base swing.</t>
  </si>
  <si>
    <t xml:space="preserve">CHARTS — HISTORICAL (2021–2025) + BASE FORECAST (2026E–2030E)</t>
  </si>
  <si>
    <t xml:space="preserve">Data block below is fully linked to the Historical Financials, Forecast and Scenario tabs. Charts read from it.</t>
  </si>
  <si>
    <t xml:space="preserve">Adj. EBITDA margin (%GB)</t>
  </si>
  <si>
    <t xml:space="preserve">Free cash flow*</t>
  </si>
  <si>
    <t xml:space="preserve">*2021–25 = reported FCF (OCF − capex); 2026–30E = modelled unlevered FCF (SBC treated as a cash cost).</t>
  </si>
  <si>
    <t xml:space="preserve">Prob-wtd</t>
  </si>
  <si>
    <t xml:space="preserve">Current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</si>
</sst>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\$#,##0;&quot;($&quot;#,##0\);\-"/>
    <numFmt numFmtId="167" formatCode="0.0%;\(0.0%\);\-"/>
    <numFmt numFmtId="168" formatCode="#,##0;\(#,##0\);\-"/>
    <numFmt numFmtId="169" formatCode="0.0\x"/>
    <numFmt numFmtId="170" formatCode="0.000"/>
    <numFmt numFmtId="171" formatCode="#,##0"/>
    <numFmt numFmtId="172" formatCode="0.0%"/>
    <numFmt numFmtId="173" formatCode="\$#,##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22222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563C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8"/>
      <color rgb="FF000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2E7D32"/>
        <bgColor rgb="FF008000"/>
      </patternFill>
    </fill>
    <fill>
      <patternFill patternType="solid">
        <fgColor rgb="FFFCE4E4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E4"/>
      </patternFill>
    </fill>
    <fill>
      <patternFill patternType="solid">
        <fgColor rgb="FF595959"/>
        <bgColor rgb="FF3A608D"/>
      </patternFill>
    </fill>
    <fill>
      <patternFill patternType="solid">
        <fgColor rgb="FFF2F2F2"/>
        <bgColor rgb="FFE2EFDA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/>
      <right style="thin">
        <color rgb="FFBFBFBF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7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7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7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2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5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6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9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9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9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A608D"/>
      <rgbColor rgb="FFBFBFBF"/>
      <rgbColor rgb="FF4F81BD"/>
      <rgbColor rgb="FF9999FF"/>
      <rgbColor rgb="FFAB4744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0E0E0"/>
      <rgbColor rgb="FF99CCFF"/>
      <rgbColor rgb="FFFF99CC"/>
      <rgbColor rgb="FFCC99FF"/>
      <rgbColor rgb="FFFCE4E4"/>
      <rgbColor rgb="FF4C7DB7"/>
      <rgbColor rgb="FF33CCCC"/>
      <rgbColor rgb="FF9BBB59"/>
      <rgbColor rgb="FFFFCC00"/>
      <rgbColor rgb="FFFF9900"/>
      <rgbColor rgb="FFFF6600"/>
      <rgbColor rgb="FF595959"/>
      <rgbColor rgb="FFB3B3B3"/>
      <rgbColor rgb="FF003366"/>
      <rgbColor rgb="FF2E7D32"/>
      <rgbColor rgb="FF003300"/>
      <rgbColor rgb="FF222222"/>
      <rgbColor rgb="FF9C5700"/>
      <rgbColor rgb="FFC0504D"/>
      <rgbColor rgb="FF2E5496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Bookings &amp; Revenue (US$mm)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$90,415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Charts!$B$3:$K$3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Charts!$C$4:$K$4</c:f>
              <c:numCache>
                <c:formatCode>\$#,##0;"($"#,##0\);\-</c:formatCode>
                <c:ptCount val="9"/>
                <c:pt idx="0">
                  <c:v>115395</c:v>
                </c:pt>
                <c:pt idx="1">
                  <c:v>137865</c:v>
                </c:pt>
                <c:pt idx="2">
                  <c:v>162773</c:v>
                </c:pt>
                <c:pt idx="3">
                  <c:v>193454</c:v>
                </c:pt>
                <c:pt idx="4">
                  <c:v>228275.72</c:v>
                </c:pt>
                <c:pt idx="5">
                  <c:v>264799.8352</c:v>
                </c:pt>
                <c:pt idx="6">
                  <c:v>301871.812128</c:v>
                </c:pt>
                <c:pt idx="7">
                  <c:v>338096.42958336</c:v>
                </c:pt>
                <c:pt idx="8">
                  <c:v>375287.03683753</c:v>
                </c:pt>
              </c:numCache>
            </c:numRef>
          </c:val>
        </c:ser>
        <c:ser>
          <c:idx val="1"/>
          <c:order val="1"/>
          <c:tx>
            <c:strRef>
              <c:f>Charts!B5</c:f>
              <c:strCache>
                <c:ptCount val="1"/>
                <c:pt idx="0">
                  <c:v>$17,455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Charts!$B$3:$K$3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Charts!$C$5:$K$5</c:f>
              <c:numCache>
                <c:formatCode>\$#,##0;"($"#,##0\);\-</c:formatCode>
                <c:ptCount val="9"/>
                <c:pt idx="0">
                  <c:v>31877</c:v>
                </c:pt>
                <c:pt idx="1">
                  <c:v>37281</c:v>
                </c:pt>
                <c:pt idx="2">
                  <c:v>43978</c:v>
                </c:pt>
                <c:pt idx="3">
                  <c:v>52017</c:v>
                </c:pt>
                <c:pt idx="4">
                  <c:v>61634.4444</c:v>
                </c:pt>
                <c:pt idx="5">
                  <c:v>71495.955504</c:v>
                </c:pt>
                <c:pt idx="6">
                  <c:v>81505.38927456</c:v>
                </c:pt>
                <c:pt idx="7">
                  <c:v>91286.0359875072</c:v>
                </c:pt>
                <c:pt idx="8">
                  <c:v>101327.499946133</c:v>
                </c:pt>
              </c:numCache>
            </c:numRef>
          </c:val>
        </c:ser>
        <c:gapWidth val="150"/>
        <c:overlap val="0"/>
        <c:axId val="8197010"/>
        <c:axId val="96429115"/>
      </c:barChart>
      <c:catAx>
        <c:axId val="8197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29115"/>
        <c:crosses val="autoZero"/>
        <c:auto val="1"/>
        <c:lblAlgn val="ctr"/>
        <c:lblOffset val="100"/>
        <c:noMultiLvlLbl val="0"/>
      </c:catAx>
      <c:valAx>
        <c:axId val="964291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7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Adj. EBITDA &amp; margin (%GB)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Charts!B6</c:f>
              <c:strCache>
                <c:ptCount val="1"/>
                <c:pt idx="0">
                  <c:v>($774)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Charts!$B$3:$K$3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Charts!$C$6:$K$6</c:f>
              <c:numCache>
                <c:formatCode>\$#,##0;"($"#,##0\);\-</c:formatCode>
                <c:ptCount val="9"/>
                <c:pt idx="0">
                  <c:v>1713</c:v>
                </c:pt>
                <c:pt idx="1">
                  <c:v>4052</c:v>
                </c:pt>
                <c:pt idx="2">
                  <c:v>6484</c:v>
                </c:pt>
                <c:pt idx="3">
                  <c:v>8730</c:v>
                </c:pt>
                <c:pt idx="4">
                  <c:v>10957.23456</c:v>
                </c:pt>
                <c:pt idx="5">
                  <c:v>13769.5914304</c:v>
                </c:pt>
                <c:pt idx="6">
                  <c:v>16904.821479168</c:v>
                </c:pt>
                <c:pt idx="7">
                  <c:v>20285.7857750016</c:v>
                </c:pt>
                <c:pt idx="8">
                  <c:v>23643.0833207644</c:v>
                </c:pt>
              </c:numCache>
            </c:numRef>
          </c:val>
        </c:ser>
        <c:gapWidth val="150"/>
        <c:overlap val="0"/>
        <c:axId val="29638665"/>
        <c:axId val="76444231"/>
      </c:barChart>
      <c:lineChart>
        <c:grouping val="standard"/>
        <c:varyColors val="0"/>
        <c:ser>
          <c:idx val="1"/>
          <c:order val="1"/>
          <c:tx>
            <c:strRef>
              <c:f>Charts!B7</c:f>
              <c:strCache>
                <c:ptCount val="1"/>
                <c:pt idx="0">
                  <c:v>(0.9%)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Charts!$B$3:$K$3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Charts!$C$7:$K$7</c:f>
              <c:numCache>
                <c:formatCode>0.0%;\(0.0%\);\-</c:formatCode>
                <c:ptCount val="9"/>
                <c:pt idx="0">
                  <c:v>0.0148446639802418</c:v>
                </c:pt>
                <c:pt idx="1">
                  <c:v>0.0293910709752294</c:v>
                </c:pt>
                <c:pt idx="2">
                  <c:v>0.0398346163061441</c:v>
                </c:pt>
                <c:pt idx="3">
                  <c:v>0.0451270069370496</c:v>
                </c:pt>
                <c:pt idx="4">
                  <c:v>0.048</c:v>
                </c:pt>
                <c:pt idx="5">
                  <c:v>0.052</c:v>
                </c:pt>
                <c:pt idx="6">
                  <c:v>0.056</c:v>
                </c:pt>
                <c:pt idx="7">
                  <c:v>0.06</c:v>
                </c:pt>
                <c:pt idx="8">
                  <c:v>0.063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660982"/>
        <c:axId val="81935336"/>
      </c:lineChart>
      <c:catAx>
        <c:axId val="296386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44231"/>
        <c:crosses val="autoZero"/>
        <c:auto val="1"/>
        <c:lblAlgn val="ctr"/>
        <c:lblOffset val="100"/>
        <c:noMultiLvlLbl val="0"/>
      </c:catAx>
      <c:valAx>
        <c:axId val="764442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38665"/>
        <c:crosses val="autoZero"/>
        <c:crossBetween val="between"/>
      </c:valAx>
      <c:catAx>
        <c:axId val="8766098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35336"/>
        <c:crosses val="autoZero"/>
        <c:auto val="1"/>
        <c:lblAlgn val="ctr"/>
        <c:lblOffset val="100"/>
        <c:noMultiLvlLbl val="0"/>
      </c:catAx>
      <c:valAx>
        <c:axId val="8193533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6098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(US$mm)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($743)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Charts!$B$3:$K$3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strCache>
            </c:strRef>
          </c:cat>
          <c:val>
            <c:numRef>
              <c:f>Charts!$C$8:$K$8</c:f>
              <c:numCache>
                <c:formatCode>\$#,##0;"($"#,##0\);\-</c:formatCode>
                <c:ptCount val="9"/>
                <c:pt idx="0">
                  <c:v>390</c:v>
                </c:pt>
                <c:pt idx="1">
                  <c:v>3362</c:v>
                </c:pt>
                <c:pt idx="2">
                  <c:v>6895</c:v>
                </c:pt>
                <c:pt idx="3">
                  <c:v>9763</c:v>
                </c:pt>
                <c:pt idx="4">
                  <c:v>7204.72413678</c:v>
                </c:pt>
                <c:pt idx="5">
                  <c:v>9194.2474778968</c:v>
                </c:pt>
                <c:pt idx="6">
                  <c:v>11435.3570511268</c:v>
                </c:pt>
                <c:pt idx="7">
                  <c:v>13875.9846147455</c:v>
                </c:pt>
                <c:pt idx="8">
                  <c:v>16291.7731996724</c:v>
                </c:pt>
              </c:numCache>
            </c:numRef>
          </c:val>
        </c:ser>
        <c:gapWidth val="150"/>
        <c:overlap val="0"/>
        <c:axId val="657482"/>
        <c:axId val="14484324"/>
      </c:barChart>
      <c:catAx>
        <c:axId val="657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84324"/>
        <c:crosses val="autoZero"/>
        <c:auto val="1"/>
        <c:lblAlgn val="ctr"/>
        <c:lblOffset val="100"/>
        <c:noMultiLvlLbl val="0"/>
      </c:catAx>
      <c:valAx>
        <c:axId val="144843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value per share by scenario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Charts!$B$11:$F$11</c:f>
              <c:strCache>
                <c:ptCount val="5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  <c:pt idx="3">
                  <c:v>Prob-wtd</c:v>
                </c:pt>
                <c:pt idx="4">
                  <c:v>Current</c:v>
                </c:pt>
              </c:strCache>
            </c:strRef>
          </c:cat>
          <c:val>
            <c:numRef>
              <c:f>Charts!$B$12:$F$12</c:f>
              <c:numCache>
                <c:formatCode>\$#,##0.00;"($"#,##0.00\);\-</c:formatCode>
                <c:ptCount val="5"/>
                <c:pt idx="0">
                  <c:v>33.1560870115137</c:v>
                </c:pt>
                <c:pt idx="1">
                  <c:v>103.179664836152</c:v>
                </c:pt>
                <c:pt idx="2">
                  <c:v>163.615645768193</c:v>
                </c:pt>
                <c:pt idx="3">
                  <c:v>100.782765613003</c:v>
                </c:pt>
                <c:pt idx="4">
                  <c:v>73</c:v>
                </c:pt>
              </c:numCache>
            </c:numRef>
          </c:val>
        </c:ser>
        <c:gapWidth val="150"/>
        <c:overlap val="0"/>
        <c:axId val="22349897"/>
        <c:axId val="98722609"/>
      </c:barChart>
      <c:catAx>
        <c:axId val="223498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22609"/>
        <c:crosses val="autoZero"/>
        <c:auto val="1"/>
        <c:lblAlgn val="ctr"/>
        <c:lblOffset val="100"/>
        <c:noMultiLvlLbl val="0"/>
      </c:catAx>
      <c:valAx>
        <c:axId val="987226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498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182880</xdr:colOff>
      <xdr:row>27</xdr:row>
      <xdr:rowOff>32040</xdr:rowOff>
    </xdr:to>
    <xdr:graphicFrame>
      <xdr:nvGraphicFramePr>
        <xdr:cNvPr id="0" name="Chart 1"/>
        <xdr:cNvGraphicFramePr/>
      </xdr:nvGraphicFramePr>
      <xdr:xfrm>
        <a:off x="0" y="261000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182880</xdr:colOff>
      <xdr:row>43</xdr:row>
      <xdr:rowOff>31680</xdr:rowOff>
    </xdr:to>
    <xdr:graphicFrame>
      <xdr:nvGraphicFramePr>
        <xdr:cNvPr id="1" name="Chart 2"/>
        <xdr:cNvGraphicFramePr/>
      </xdr:nvGraphicFramePr>
      <xdr:xfrm>
        <a:off x="0" y="565776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16</xdr:col>
      <xdr:colOff>415440</xdr:colOff>
      <xdr:row>27</xdr:row>
      <xdr:rowOff>32040</xdr:rowOff>
    </xdr:to>
    <xdr:graphicFrame>
      <xdr:nvGraphicFramePr>
        <xdr:cNvPr id="2" name="Chart 3"/>
        <xdr:cNvGraphicFramePr/>
      </xdr:nvGraphicFramePr>
      <xdr:xfrm>
        <a:off x="8599320" y="261000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16</xdr:col>
      <xdr:colOff>415440</xdr:colOff>
      <xdr:row>43</xdr:row>
      <xdr:rowOff>31680</xdr:rowOff>
    </xdr:to>
    <xdr:graphicFrame>
      <xdr:nvGraphicFramePr>
        <xdr:cNvPr id="3" name="Chart 4"/>
        <xdr:cNvGraphicFramePr/>
      </xdr:nvGraphicFramePr>
      <xdr:xfrm>
        <a:off x="8599320" y="565776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2"/>
    <col collapsed="false" customWidth="true" hidden="false" outlineLevel="0" max="5" min="5" style="1" width="30"/>
    <col collapsed="false" customWidth="true" hidden="false" outlineLevel="0" max="7" min="6" style="1" width="16"/>
    <col collapsed="false" customWidth="true" hidden="false" outlineLevel="0" max="8" min="8" style="1" width="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E4" s="4" t="s">
        <v>3</v>
      </c>
      <c r="F4" s="4"/>
      <c r="G4" s="4"/>
    </row>
    <row r="5" customFormat="false" ht="18" hidden="false" customHeight="true" outlineLevel="0" collapsed="false">
      <c r="A5" s="5" t="s">
        <v>4</v>
      </c>
      <c r="B5" s="5"/>
      <c r="C5" s="5"/>
      <c r="E5" s="6" t="s">
        <v>5</v>
      </c>
      <c r="F5" s="6"/>
      <c r="G5" s="6"/>
    </row>
    <row r="6" customFormat="false" ht="18" hidden="false" customHeight="true" outlineLevel="0" collapsed="false">
      <c r="A6" s="5"/>
      <c r="B6" s="5"/>
      <c r="C6" s="5"/>
      <c r="E6" s="6"/>
      <c r="F6" s="6"/>
      <c r="G6" s="6"/>
    </row>
    <row r="7" customFormat="false" ht="15" hidden="false" customHeight="true" outlineLevel="0" collapsed="false">
      <c r="E7" s="6"/>
      <c r="F7" s="6"/>
      <c r="G7" s="6"/>
    </row>
    <row r="8" customFormat="false" ht="15" hidden="false" customHeight="true" outlineLevel="0" collapsed="false">
      <c r="A8" s="4" t="s">
        <v>6</v>
      </c>
      <c r="B8" s="4"/>
      <c r="C8" s="4"/>
      <c r="E8" s="6"/>
      <c r="F8" s="6"/>
      <c r="G8" s="6"/>
    </row>
    <row r="9" customFormat="false" ht="15" hidden="false" customHeight="true" outlineLevel="0" collapsed="false">
      <c r="A9" s="7" t="s">
        <v>7</v>
      </c>
      <c r="B9" s="8" t="n">
        <f aca="false">Assumptions!C8</f>
        <v>73</v>
      </c>
      <c r="C9" s="8"/>
    </row>
    <row r="10" customFormat="false" ht="15" hidden="false" customHeight="true" outlineLevel="0" collapsed="false">
      <c r="A10" s="9" t="s">
        <v>8</v>
      </c>
      <c r="B10" s="10" t="n">
        <f aca="false">'Scenario Analysis'!C10</f>
        <v>33.1560870115137</v>
      </c>
      <c r="C10" s="10"/>
      <c r="E10" s="4" t="s">
        <v>9</v>
      </c>
      <c r="F10" s="4"/>
      <c r="G10" s="4"/>
    </row>
    <row r="11" customFormat="false" ht="15" hidden="false" customHeight="true" outlineLevel="0" collapsed="false">
      <c r="A11" s="11" t="s">
        <v>10</v>
      </c>
      <c r="B11" s="12" t="n">
        <f aca="false">'Scenario Analysis'!D10</f>
        <v>103.179664836152</v>
      </c>
      <c r="C11" s="12"/>
      <c r="E11" s="7" t="s">
        <v>11</v>
      </c>
      <c r="F11" s="13" t="n">
        <f aca="false">'Historical Financials'!G5</f>
        <v>193454</v>
      </c>
      <c r="G11" s="13"/>
    </row>
    <row r="12" customFormat="false" ht="15" hidden="false" customHeight="true" outlineLevel="0" collapsed="false">
      <c r="A12" s="14" t="s">
        <v>12</v>
      </c>
      <c r="B12" s="15" t="n">
        <f aca="false">'Scenario Analysis'!E10</f>
        <v>163.615645768193</v>
      </c>
      <c r="C12" s="15"/>
      <c r="E12" s="7" t="s">
        <v>13</v>
      </c>
      <c r="F12" s="13" t="n">
        <f aca="false">'Historical Financials'!G7</f>
        <v>52017</v>
      </c>
      <c r="G12" s="13"/>
    </row>
    <row r="13" customFormat="false" ht="15" hidden="false" customHeight="true" outlineLevel="0" collapsed="false">
      <c r="A13" s="16" t="s">
        <v>14</v>
      </c>
      <c r="B13" s="17" t="n">
        <f aca="false">'Scenario Analysis'!C14</f>
        <v>100.782765613003</v>
      </c>
      <c r="C13" s="17"/>
      <c r="E13" s="7" t="s">
        <v>15</v>
      </c>
      <c r="F13" s="13" t="n">
        <f aca="false">'Historical Financials'!G10</f>
        <v>8730</v>
      </c>
      <c r="G13" s="13"/>
    </row>
    <row r="14" customFormat="false" ht="15" hidden="false" customHeight="true" outlineLevel="0" collapsed="false">
      <c r="A14" s="7" t="s">
        <v>16</v>
      </c>
      <c r="B14" s="18" t="n">
        <f aca="false">Valuation!C27</f>
        <v>0.413420066248655</v>
      </c>
      <c r="C14" s="18"/>
      <c r="E14" s="7" t="s">
        <v>17</v>
      </c>
      <c r="F14" s="13" t="n">
        <f aca="false">'Historical Financials'!G15</f>
        <v>9763</v>
      </c>
      <c r="G14" s="13"/>
    </row>
    <row r="15" customFormat="false" ht="15" hidden="false" customHeight="true" outlineLevel="0" collapsed="false">
      <c r="A15" s="7" t="s">
        <v>18</v>
      </c>
      <c r="B15" s="18" t="n">
        <f aca="false">'Scenario Analysis'!E14</f>
        <v>0.380585830315106</v>
      </c>
      <c r="C15" s="18"/>
      <c r="E15" s="7" t="s">
        <v>19</v>
      </c>
      <c r="F15" s="13" t="n">
        <f aca="false">'Historical Financials'!G13</f>
        <v>10053</v>
      </c>
      <c r="G15" s="13"/>
    </row>
    <row r="17" customFormat="false" ht="15" hidden="false" customHeight="true" outlineLevel="0" collapsed="false">
      <c r="A17" s="4" t="s">
        <v>20</v>
      </c>
      <c r="B17" s="4"/>
      <c r="C17" s="4"/>
      <c r="E17" s="19" t="s">
        <v>21</v>
      </c>
      <c r="F17" s="19"/>
      <c r="G17" s="19"/>
    </row>
    <row r="18" customFormat="false" ht="25.5" hidden="false" customHeight="true" outlineLevel="0" collapsed="false">
      <c r="A18" s="20" t="s">
        <v>22</v>
      </c>
      <c r="B18" s="20"/>
      <c r="C18" s="20"/>
      <c r="E18" s="19"/>
      <c r="F18" s="19"/>
      <c r="G18" s="19"/>
    </row>
    <row r="19" customFormat="false" ht="25.5" hidden="false" customHeight="true" outlineLevel="0" collapsed="false">
      <c r="A19" s="20" t="s">
        <v>23</v>
      </c>
      <c r="B19" s="20"/>
      <c r="C19" s="20"/>
      <c r="E19" s="19"/>
      <c r="F19" s="19"/>
      <c r="G19" s="19"/>
    </row>
    <row r="20" customFormat="false" ht="25.5" hidden="false" customHeight="true" outlineLevel="0" collapsed="false">
      <c r="A20" s="20" t="s">
        <v>24</v>
      </c>
      <c r="B20" s="20"/>
      <c r="C20" s="20"/>
    </row>
    <row r="21" customFormat="false" ht="25.5" hidden="false" customHeight="true" outlineLevel="0" collapsed="false">
      <c r="A21" s="20" t="s">
        <v>25</v>
      </c>
      <c r="B21" s="20"/>
      <c r="C21" s="20"/>
      <c r="E21" s="4" t="s">
        <v>26</v>
      </c>
      <c r="F21" s="4"/>
      <c r="G21" s="4"/>
    </row>
    <row r="22" customFormat="false" ht="21.75" hidden="false" customHeight="true" outlineLevel="0" collapsed="false">
      <c r="A22" s="20" t="s">
        <v>27</v>
      </c>
      <c r="B22" s="20"/>
      <c r="C22" s="20"/>
      <c r="E22" s="20" t="s">
        <v>28</v>
      </c>
      <c r="F22" s="20"/>
      <c r="G22" s="20"/>
    </row>
    <row r="23" customFormat="false" ht="21.75" hidden="false" customHeight="true" outlineLevel="0" collapsed="false">
      <c r="E23" s="20" t="s">
        <v>29</v>
      </c>
      <c r="F23" s="20"/>
      <c r="G23" s="20"/>
    </row>
    <row r="24" customFormat="false" ht="21.75" hidden="false" customHeight="true" outlineLevel="0" collapsed="false">
      <c r="A24" s="4" t="s">
        <v>30</v>
      </c>
      <c r="B24" s="4"/>
      <c r="C24" s="4"/>
      <c r="E24" s="20" t="s">
        <v>31</v>
      </c>
      <c r="F24" s="20"/>
      <c r="G24" s="20"/>
    </row>
    <row r="25" customFormat="false" ht="21.75" hidden="false" customHeight="true" outlineLevel="0" collapsed="false">
      <c r="A25" s="20" t="s">
        <v>32</v>
      </c>
      <c r="B25" s="20"/>
      <c r="C25" s="20"/>
      <c r="E25" s="20" t="s">
        <v>33</v>
      </c>
      <c r="F25" s="20"/>
      <c r="G25" s="20"/>
    </row>
    <row r="26" customFormat="false" ht="21.75" hidden="false" customHeight="true" outlineLevel="0" collapsed="false">
      <c r="A26" s="20" t="s">
        <v>34</v>
      </c>
      <c r="B26" s="20"/>
      <c r="C26" s="20"/>
      <c r="E26" s="20" t="s">
        <v>35</v>
      </c>
      <c r="F26" s="20"/>
      <c r="G26" s="20"/>
    </row>
    <row r="27" customFormat="false" ht="25.5" hidden="false" customHeight="true" outlineLevel="0" collapsed="false">
      <c r="A27" s="20" t="s">
        <v>36</v>
      </c>
      <c r="B27" s="20"/>
      <c r="C27" s="20"/>
    </row>
    <row r="28" customFormat="false" ht="25.5" hidden="false" customHeight="true" outlineLevel="0" collapsed="false">
      <c r="A28" s="20" t="s">
        <v>37</v>
      </c>
      <c r="B28" s="20"/>
      <c r="C28" s="20"/>
      <c r="E28" s="4" t="s">
        <v>38</v>
      </c>
      <c r="F28" s="4"/>
      <c r="G28" s="4"/>
    </row>
    <row r="29" customFormat="false" ht="25.5" hidden="false" customHeight="true" outlineLevel="0" collapsed="false">
      <c r="A29" s="20" t="s">
        <v>39</v>
      </c>
      <c r="B29" s="20"/>
      <c r="C29" s="20"/>
      <c r="E29" s="6" t="s">
        <v>40</v>
      </c>
      <c r="F29" s="6"/>
      <c r="G29" s="6"/>
    </row>
    <row r="30" customFormat="false" ht="15" hidden="false" customHeight="true" outlineLevel="0" collapsed="false">
      <c r="E30" s="6"/>
      <c r="F30" s="6"/>
      <c r="G30" s="6"/>
    </row>
    <row r="31" customFormat="false" ht="15" hidden="false" customHeight="true" outlineLevel="0" collapsed="false">
      <c r="A31" s="21" t="s">
        <v>41</v>
      </c>
      <c r="B31" s="21"/>
      <c r="C31" s="21"/>
      <c r="E31" s="6"/>
      <c r="F31" s="6"/>
      <c r="G31" s="6"/>
    </row>
    <row r="32" customFormat="false" ht="15" hidden="false" customHeight="true" outlineLevel="0" collapsed="false">
      <c r="A32" s="22" t="s">
        <v>42</v>
      </c>
      <c r="B32" s="22"/>
      <c r="C32" s="22"/>
      <c r="E32" s="6"/>
      <c r="F32" s="6"/>
      <c r="G32" s="6"/>
    </row>
    <row r="33" customFormat="false" ht="15" hidden="false" customHeight="true" outlineLevel="0" collapsed="false">
      <c r="A33" s="22"/>
      <c r="B33" s="22"/>
      <c r="C33" s="22"/>
      <c r="E33" s="6"/>
      <c r="F33" s="6"/>
      <c r="G33" s="6"/>
    </row>
    <row r="34" customFormat="false" ht="15" hidden="false" customHeight="true" outlineLevel="0" collapsed="false">
      <c r="A34" s="22"/>
      <c r="B34" s="22"/>
      <c r="C34" s="22"/>
      <c r="E34" s="6"/>
      <c r="F34" s="6"/>
      <c r="G34" s="6"/>
    </row>
    <row r="35" customFormat="false" ht="15" hidden="false" customHeight="true" outlineLevel="0" collapsed="false">
      <c r="A35" s="22"/>
      <c r="B35" s="22"/>
      <c r="C35" s="22"/>
    </row>
    <row r="36" customFormat="false" ht="15" hidden="false" customHeight="true" outlineLevel="0" collapsed="false">
      <c r="A36" s="22"/>
      <c r="B36" s="22"/>
      <c r="C36" s="22"/>
    </row>
  </sheetData>
  <mergeCells count="43">
    <mergeCell ref="A1:H1"/>
    <mergeCell ref="A2:H2"/>
    <mergeCell ref="A4:C4"/>
    <mergeCell ref="E4:G4"/>
    <mergeCell ref="A5:C6"/>
    <mergeCell ref="E5:G8"/>
    <mergeCell ref="A8:C8"/>
    <mergeCell ref="B9:C9"/>
    <mergeCell ref="B10:C10"/>
    <mergeCell ref="E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A17:C17"/>
    <mergeCell ref="E17:G19"/>
    <mergeCell ref="A18:C18"/>
    <mergeCell ref="A19:C19"/>
    <mergeCell ref="A20:C20"/>
    <mergeCell ref="A21:C21"/>
    <mergeCell ref="E21:G21"/>
    <mergeCell ref="A22:C22"/>
    <mergeCell ref="E22:G22"/>
    <mergeCell ref="E23:G23"/>
    <mergeCell ref="A24:C24"/>
    <mergeCell ref="E24:G24"/>
    <mergeCell ref="A25:C25"/>
    <mergeCell ref="E25:G25"/>
    <mergeCell ref="A26:C26"/>
    <mergeCell ref="E26:G26"/>
    <mergeCell ref="A27:C27"/>
    <mergeCell ref="A28:C28"/>
    <mergeCell ref="E28:G28"/>
    <mergeCell ref="A29:C29"/>
    <mergeCell ref="E29:G34"/>
    <mergeCell ref="A31:C31"/>
    <mergeCell ref="A32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22"/>
    <col collapsed="false" customWidth="true" hidden="false" outlineLevel="0" max="5" min="5" style="1" width="46"/>
    <col collapsed="false" customWidth="true" hidden="false" outlineLevel="0" max="9" min="6" style="1" width="10"/>
  </cols>
  <sheetData>
    <row r="1" customFormat="false" ht="25.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23" t="s">
        <v>45</v>
      </c>
      <c r="B4" s="23"/>
      <c r="C4" s="23"/>
      <c r="D4" s="23"/>
      <c r="E4" s="23"/>
      <c r="F4" s="23"/>
      <c r="G4" s="23"/>
      <c r="H4" s="23"/>
      <c r="I4" s="23"/>
    </row>
    <row r="5" customFormat="false" ht="15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</row>
    <row r="6" customFormat="false" ht="15" hidden="false" customHeight="true" outlineLevel="0" collapsed="false">
      <c r="A6" s="23"/>
      <c r="B6" s="23"/>
      <c r="C6" s="23"/>
      <c r="D6" s="23"/>
      <c r="E6" s="23"/>
      <c r="F6" s="23"/>
      <c r="G6" s="23"/>
      <c r="H6" s="23"/>
      <c r="I6" s="23"/>
    </row>
    <row r="8" customFormat="false" ht="15" hidden="false" customHeight="true" outlineLevel="0" collapsed="false">
      <c r="A8" s="24" t="s">
        <v>46</v>
      </c>
      <c r="B8" s="24" t="s">
        <v>47</v>
      </c>
      <c r="C8" s="24" t="s">
        <v>48</v>
      </c>
      <c r="D8" s="24" t="s">
        <v>49</v>
      </c>
      <c r="E8" s="24" t="s">
        <v>50</v>
      </c>
    </row>
    <row r="9" customFormat="false" ht="37.5" hidden="false" customHeight="true" outlineLevel="0" collapsed="false">
      <c r="A9" s="25" t="n">
        <v>1</v>
      </c>
      <c r="B9" s="26" t="s">
        <v>51</v>
      </c>
      <c r="C9" s="26" t="s">
        <v>52</v>
      </c>
      <c r="D9" s="26" t="s">
        <v>53</v>
      </c>
      <c r="E9" s="27" t="s">
        <v>54</v>
      </c>
    </row>
    <row r="10" customFormat="false" ht="37.5" hidden="false" customHeight="true" outlineLevel="0" collapsed="false">
      <c r="A10" s="25" t="n">
        <v>2</v>
      </c>
      <c r="B10" s="26" t="s">
        <v>55</v>
      </c>
      <c r="C10" s="26" t="s">
        <v>56</v>
      </c>
      <c r="D10" s="26" t="s">
        <v>57</v>
      </c>
      <c r="E10" s="27" t="s">
        <v>58</v>
      </c>
    </row>
    <row r="11" customFormat="false" ht="37.5" hidden="false" customHeight="true" outlineLevel="0" collapsed="false">
      <c r="A11" s="25" t="n">
        <v>3</v>
      </c>
      <c r="B11" s="26" t="s">
        <v>59</v>
      </c>
      <c r="C11" s="26" t="s">
        <v>60</v>
      </c>
      <c r="D11" s="26" t="s">
        <v>61</v>
      </c>
      <c r="E11" s="27" t="s">
        <v>62</v>
      </c>
    </row>
    <row r="12" customFormat="false" ht="37.5" hidden="false" customHeight="true" outlineLevel="0" collapsed="false">
      <c r="A12" s="25" t="n">
        <v>4</v>
      </c>
      <c r="B12" s="26" t="s">
        <v>63</v>
      </c>
      <c r="C12" s="26" t="s">
        <v>64</v>
      </c>
      <c r="D12" s="26" t="s">
        <v>65</v>
      </c>
      <c r="E12" s="27" t="s">
        <v>66</v>
      </c>
    </row>
    <row r="13" customFormat="false" ht="37.5" hidden="false" customHeight="true" outlineLevel="0" collapsed="false">
      <c r="A13" s="25" t="n">
        <v>5</v>
      </c>
      <c r="B13" s="26" t="s">
        <v>67</v>
      </c>
      <c r="C13" s="26" t="s">
        <v>68</v>
      </c>
      <c r="D13" s="26" t="s">
        <v>69</v>
      </c>
      <c r="E13" s="27" t="s">
        <v>70</v>
      </c>
    </row>
    <row r="14" customFormat="false" ht="37.5" hidden="false" customHeight="true" outlineLevel="0" collapsed="false">
      <c r="A14" s="25" t="n">
        <v>6</v>
      </c>
      <c r="B14" s="26" t="s">
        <v>71</v>
      </c>
      <c r="C14" s="26" t="s">
        <v>72</v>
      </c>
      <c r="D14" s="26" t="s">
        <v>73</v>
      </c>
      <c r="E14" s="27" t="s">
        <v>74</v>
      </c>
    </row>
    <row r="15" customFormat="false" ht="37.5" hidden="false" customHeight="true" outlineLevel="0" collapsed="false">
      <c r="A15" s="25" t="n">
        <v>7</v>
      </c>
      <c r="B15" s="26" t="s">
        <v>75</v>
      </c>
      <c r="C15" s="26" t="s">
        <v>76</v>
      </c>
      <c r="D15" s="26" t="s">
        <v>77</v>
      </c>
      <c r="E15" s="27" t="s">
        <v>78</v>
      </c>
    </row>
    <row r="16" customFormat="false" ht="37.5" hidden="false" customHeight="true" outlineLevel="0" collapsed="false">
      <c r="A16" s="25" t="n">
        <v>8</v>
      </c>
      <c r="B16" s="26" t="s">
        <v>79</v>
      </c>
      <c r="C16" s="26" t="s">
        <v>80</v>
      </c>
      <c r="D16" s="26" t="s">
        <v>81</v>
      </c>
      <c r="E16" s="27" t="s">
        <v>82</v>
      </c>
    </row>
    <row r="17" customFormat="false" ht="37.5" hidden="false" customHeight="true" outlineLevel="0" collapsed="false">
      <c r="A17" s="25" t="n">
        <v>9</v>
      </c>
      <c r="B17" s="26" t="s">
        <v>83</v>
      </c>
      <c r="C17" s="26" t="s">
        <v>84</v>
      </c>
      <c r="D17" s="26" t="s">
        <v>85</v>
      </c>
      <c r="E17" s="27" t="s">
        <v>86</v>
      </c>
    </row>
    <row r="18" customFormat="false" ht="37.5" hidden="false" customHeight="true" outlineLevel="0" collapsed="false">
      <c r="A18" s="25" t="n">
        <v>10</v>
      </c>
      <c r="B18" s="26" t="s">
        <v>87</v>
      </c>
      <c r="C18" s="26" t="s">
        <v>88</v>
      </c>
      <c r="D18" s="26" t="s">
        <v>89</v>
      </c>
      <c r="E18" s="27" t="s">
        <v>90</v>
      </c>
    </row>
    <row r="20" customFormat="false" ht="15" hidden="false" customHeight="true" outlineLevel="0" collapsed="false">
      <c r="A20" s="28" t="s">
        <v>91</v>
      </c>
    </row>
    <row r="21" customFormat="false" ht="15" hidden="false" customHeight="true" outlineLevel="0" collapsed="false">
      <c r="A21" s="23" t="s">
        <v>92</v>
      </c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23"/>
      <c r="G23" s="23"/>
      <c r="H23" s="23"/>
      <c r="I23" s="23"/>
    </row>
  </sheetData>
  <mergeCells count="4">
    <mergeCell ref="A1:I1"/>
    <mergeCell ref="A2:I2"/>
    <mergeCell ref="A4:I6"/>
    <mergeCell ref="A21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496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6" min="3" style="1" width="13"/>
    <col collapsed="false" customWidth="true" hidden="false" outlineLevel="0" max="7" min="7" style="1" width="30"/>
    <col collapsed="false" customWidth="true" hidden="false" outlineLevel="0" max="9" min="9" style="1" width="12"/>
  </cols>
  <sheetData>
    <row r="1" customFormat="false" ht="25.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9" t="s">
        <v>95</v>
      </c>
      <c r="C4" s="30" t="s">
        <v>96</v>
      </c>
      <c r="D4" s="30" t="s">
        <v>97</v>
      </c>
      <c r="E4" s="30" t="s">
        <v>98</v>
      </c>
      <c r="F4" s="30" t="s">
        <v>99</v>
      </c>
      <c r="G4" s="30" t="s">
        <v>100</v>
      </c>
    </row>
    <row r="5" customFormat="false" ht="15" hidden="false" customHeight="true" outlineLevel="0" collapsed="false">
      <c r="A5" s="31" t="s">
        <v>11</v>
      </c>
      <c r="C5" s="32" t="n">
        <v>90415</v>
      </c>
      <c r="D5" s="32" t="n">
        <v>115395</v>
      </c>
      <c r="E5" s="32" t="n">
        <v>137865</v>
      </c>
      <c r="F5" s="32" t="n">
        <v>162773</v>
      </c>
      <c r="G5" s="32" t="n">
        <v>193454</v>
      </c>
    </row>
    <row r="6" customFormat="false" ht="15" hidden="false" customHeight="true" outlineLevel="0" collapsed="false">
      <c r="A6" s="33" t="s">
        <v>101</v>
      </c>
      <c r="D6" s="34" t="n">
        <f aca="false">D5/C5-1</f>
        <v>0.276281590444063</v>
      </c>
      <c r="E6" s="34" t="n">
        <f aca="false">E5/D5-1</f>
        <v>0.194722474977252</v>
      </c>
      <c r="F6" s="34" t="n">
        <f aca="false">F5/E5-1</f>
        <v>0.180669495520981</v>
      </c>
      <c r="G6" s="34" t="n">
        <f aca="false">G5/F5-1</f>
        <v>0.188489491500433</v>
      </c>
    </row>
    <row r="7" customFormat="false" ht="15" hidden="false" customHeight="true" outlineLevel="0" collapsed="false">
      <c r="A7" s="31" t="s">
        <v>13</v>
      </c>
      <c r="C7" s="32" t="n">
        <v>17455</v>
      </c>
      <c r="D7" s="32" t="n">
        <v>31877</v>
      </c>
      <c r="E7" s="32" t="n">
        <v>37281</v>
      </c>
      <c r="F7" s="32" t="n">
        <v>43978</v>
      </c>
      <c r="G7" s="32" t="n">
        <v>52017</v>
      </c>
    </row>
    <row r="8" customFormat="false" ht="15" hidden="false" customHeight="true" outlineLevel="0" collapsed="false">
      <c r="A8" s="33" t="s">
        <v>101</v>
      </c>
      <c r="D8" s="34" t="n">
        <f aca="false">D7/C7-1</f>
        <v>0.826238900028645</v>
      </c>
      <c r="E8" s="34" t="n">
        <f aca="false">E7/D7-1</f>
        <v>0.169526617937698</v>
      </c>
      <c r="F8" s="34" t="n">
        <f aca="false">F7/E7-1</f>
        <v>0.179635739384673</v>
      </c>
      <c r="G8" s="34" t="n">
        <f aca="false">G7/F7-1</f>
        <v>0.182795943426259</v>
      </c>
    </row>
    <row r="9" customFormat="false" ht="15" hidden="false" customHeight="true" outlineLevel="0" collapsed="false">
      <c r="A9" s="33" t="s">
        <v>102</v>
      </c>
      <c r="C9" s="34" t="n">
        <f aca="false">C7/C5</f>
        <v>0.193054249847923</v>
      </c>
      <c r="D9" s="34" t="n">
        <f aca="false">D7/D5</f>
        <v>0.276242471510897</v>
      </c>
      <c r="E9" s="34" t="n">
        <f aca="false">E7/E5</f>
        <v>0.27041671200087</v>
      </c>
      <c r="F9" s="34" t="n">
        <f aca="false">F7/F5</f>
        <v>0.270179943848181</v>
      </c>
      <c r="G9" s="34" t="n">
        <f aca="false">G7/G5</f>
        <v>0.268885626557218</v>
      </c>
    </row>
    <row r="10" customFormat="false" ht="15" hidden="false" customHeight="true" outlineLevel="0" collapsed="false">
      <c r="A10" s="31" t="s">
        <v>15</v>
      </c>
      <c r="C10" s="32" t="n">
        <v>-774</v>
      </c>
      <c r="D10" s="32" t="n">
        <v>1713</v>
      </c>
      <c r="E10" s="32" t="n">
        <v>4052</v>
      </c>
      <c r="F10" s="32" t="n">
        <v>6484</v>
      </c>
      <c r="G10" s="32" t="n">
        <v>8730</v>
      </c>
    </row>
    <row r="11" customFormat="false" ht="15" hidden="false" customHeight="true" outlineLevel="0" collapsed="false">
      <c r="A11" s="33" t="s">
        <v>103</v>
      </c>
      <c r="C11" s="34" t="n">
        <f aca="false">C10/C5</f>
        <v>-0.00856052646131726</v>
      </c>
      <c r="D11" s="34" t="n">
        <f aca="false">D10/D5</f>
        <v>0.0148446639802418</v>
      </c>
      <c r="E11" s="34" t="n">
        <f aca="false">E10/E5</f>
        <v>0.0293910709752294</v>
      </c>
      <c r="F11" s="34" t="n">
        <f aca="false">F10/F5</f>
        <v>0.0398346163061441</v>
      </c>
      <c r="G11" s="34" t="n">
        <f aca="false">G10/G5</f>
        <v>0.0451270069370496</v>
      </c>
    </row>
    <row r="12" customFormat="false" ht="15" hidden="false" customHeight="true" outlineLevel="0" collapsed="false">
      <c r="A12" s="31" t="s">
        <v>104</v>
      </c>
      <c r="C12" s="32" t="n">
        <v>-3832</v>
      </c>
      <c r="D12" s="32" t="n">
        <v>-1832</v>
      </c>
      <c r="E12" s="32" t="n">
        <v>1110</v>
      </c>
      <c r="F12" s="32" t="n">
        <v>2799</v>
      </c>
      <c r="G12" s="32" t="n">
        <v>5565</v>
      </c>
    </row>
    <row r="13" customFormat="false" ht="15" hidden="false" customHeight="true" outlineLevel="0" collapsed="false">
      <c r="A13" s="31" t="s">
        <v>19</v>
      </c>
      <c r="C13" s="32" t="n">
        <v>-496</v>
      </c>
      <c r="D13" s="32" t="n">
        <v>-9141</v>
      </c>
      <c r="E13" s="32" t="n">
        <v>1887</v>
      </c>
      <c r="F13" s="32" t="n">
        <v>9856</v>
      </c>
      <c r="G13" s="32" t="n">
        <v>10053</v>
      </c>
    </row>
    <row r="14" customFormat="false" ht="15" hidden="false" customHeight="true" outlineLevel="0" collapsed="false">
      <c r="A14" s="31" t="s">
        <v>105</v>
      </c>
      <c r="C14" s="32" t="n">
        <v>-445</v>
      </c>
      <c r="D14" s="32" t="n">
        <v>642</v>
      </c>
      <c r="E14" s="32" t="n">
        <v>3585</v>
      </c>
      <c r="F14" s="32" t="n">
        <v>7137</v>
      </c>
      <c r="G14" s="32" t="n">
        <v>10099</v>
      </c>
    </row>
    <row r="15" customFormat="false" ht="15" hidden="false" customHeight="true" outlineLevel="0" collapsed="false">
      <c r="A15" s="31" t="s">
        <v>106</v>
      </c>
      <c r="C15" s="32" t="n">
        <v>-743</v>
      </c>
      <c r="D15" s="32" t="n">
        <v>390</v>
      </c>
      <c r="E15" s="32" t="n">
        <v>3362</v>
      </c>
      <c r="F15" s="32" t="n">
        <v>6895</v>
      </c>
      <c r="G15" s="32" t="n">
        <v>9763</v>
      </c>
    </row>
    <row r="16" customFormat="false" ht="15" hidden="false" customHeight="true" outlineLevel="0" collapsed="false">
      <c r="A16" s="33" t="s">
        <v>107</v>
      </c>
      <c r="C16" s="34" t="n">
        <f aca="false">C15/C7</f>
        <v>-0.0425665998281295</v>
      </c>
      <c r="D16" s="34" t="n">
        <f aca="false">D15/D7</f>
        <v>0.0122345264610848</v>
      </c>
      <c r="E16" s="34" t="n">
        <f aca="false">E15/E7</f>
        <v>0.0901799844424774</v>
      </c>
      <c r="F16" s="34" t="n">
        <f aca="false">F15/F7</f>
        <v>0.156782936923007</v>
      </c>
      <c r="G16" s="34" t="n">
        <f aca="false">G15/G7</f>
        <v>0.187688640252225</v>
      </c>
    </row>
    <row r="17" customFormat="false" ht="15" hidden="false" customHeight="true" outlineLevel="0" collapsed="false">
      <c r="A17" s="33" t="s">
        <v>108</v>
      </c>
      <c r="C17" s="34" t="n">
        <f aca="false">IF(C10=0,"-",C15/C10)</f>
        <v>0.959948320413437</v>
      </c>
      <c r="D17" s="34" t="n">
        <f aca="false">IF(D10=0,"-",D15/D10)</f>
        <v>0.227670753064799</v>
      </c>
      <c r="E17" s="34" t="n">
        <f aca="false">IF(E10=0,"-",E15/E10)</f>
        <v>0.829713721618954</v>
      </c>
      <c r="F17" s="34" t="n">
        <f aca="false">IF(F10=0,"-",F15/F10)</f>
        <v>1.06338679827267</v>
      </c>
      <c r="G17" s="34" t="n">
        <f aca="false">IF(G10=0,"-",G15/G10)</f>
        <v>1.11832760595647</v>
      </c>
    </row>
    <row r="18" customFormat="false" ht="15" hidden="false" customHeight="true" outlineLevel="0" collapsed="false">
      <c r="A18" s="31" t="s">
        <v>109</v>
      </c>
      <c r="C18" s="35" t="n">
        <v>6368</v>
      </c>
      <c r="D18" s="35" t="n">
        <v>7637</v>
      </c>
      <c r="E18" s="35" t="n">
        <v>9436</v>
      </c>
      <c r="F18" s="35" t="n">
        <v>11273</v>
      </c>
      <c r="G18" s="35" t="n">
        <v>13567</v>
      </c>
    </row>
    <row r="19" customFormat="false" ht="15" hidden="false" customHeight="true" outlineLevel="0" collapsed="false">
      <c r="A19" s="31" t="s">
        <v>110</v>
      </c>
      <c r="C19" s="35" t="n">
        <v>118</v>
      </c>
      <c r="D19" s="35" t="n">
        <v>131</v>
      </c>
      <c r="E19" s="35" t="n">
        <v>150</v>
      </c>
      <c r="F19" s="35" t="n">
        <v>171</v>
      </c>
      <c r="G19" s="35" t="n">
        <v>202</v>
      </c>
    </row>
    <row r="21" customFormat="false" ht="15" hidden="false" customHeight="true" outlineLevel="0" collapsed="false">
      <c r="A21" s="36" t="s">
        <v>111</v>
      </c>
    </row>
    <row r="22" customFormat="false" ht="15" hidden="false" customHeight="true" outlineLevel="0" collapsed="false">
      <c r="A22" s="33" t="s">
        <v>112</v>
      </c>
      <c r="C22" s="37" t="n">
        <f aca="false">(G5/C5)^(1/4)-1</f>
        <v>0.209439941047801</v>
      </c>
    </row>
    <row r="23" customFormat="false" ht="15" hidden="false" customHeight="true" outlineLevel="0" collapsed="false">
      <c r="A23" s="33" t="s">
        <v>113</v>
      </c>
      <c r="C23" s="37" t="n">
        <f aca="false">(G7/C7)^(1/4)-1</f>
        <v>0.313881997397651</v>
      </c>
    </row>
    <row r="24" customFormat="false" ht="15" hidden="false" customHeight="true" outlineLevel="0" collapsed="false">
      <c r="A24" s="33" t="s">
        <v>114</v>
      </c>
      <c r="C24" s="38" t="n">
        <f aca="false">G10</f>
        <v>8730</v>
      </c>
    </row>
    <row r="26" customFormat="false" ht="15" hidden="false" customHeight="true" outlineLevel="0" collapsed="false">
      <c r="A26" s="29" t="s">
        <v>115</v>
      </c>
      <c r="B26" s="29"/>
      <c r="C26" s="29"/>
      <c r="D26" s="29"/>
      <c r="E26" s="29"/>
      <c r="G26" s="29" t="s">
        <v>116</v>
      </c>
      <c r="H26" s="29"/>
      <c r="I26" s="29"/>
    </row>
    <row r="27" customFormat="false" ht="15" hidden="false" customHeight="true" outlineLevel="0" collapsed="false">
      <c r="A27" s="39" t="s">
        <v>13</v>
      </c>
      <c r="C27" s="40" t="n">
        <v>52017</v>
      </c>
      <c r="G27" s="39" t="s">
        <v>117</v>
      </c>
      <c r="I27" s="40" t="n">
        <v>7105</v>
      </c>
    </row>
    <row r="28" customFormat="false" ht="15" hidden="false" customHeight="true" outlineLevel="0" collapsed="false">
      <c r="A28" s="39" t="s">
        <v>118</v>
      </c>
      <c r="C28" s="40" t="n">
        <v>-31338</v>
      </c>
      <c r="G28" s="39" t="s">
        <v>119</v>
      </c>
      <c r="I28" s="40" t="n">
        <v>528</v>
      </c>
    </row>
    <row r="29" customFormat="false" ht="15" hidden="false" customHeight="true" outlineLevel="0" collapsed="false">
      <c r="A29" s="39" t="s">
        <v>120</v>
      </c>
      <c r="C29" s="40" t="n">
        <v>-2854</v>
      </c>
      <c r="G29" s="39" t="s">
        <v>121</v>
      </c>
      <c r="I29" s="41" t="n">
        <f aca="false">I27+I28</f>
        <v>7633</v>
      </c>
    </row>
    <row r="30" customFormat="false" ht="15" hidden="false" customHeight="true" outlineLevel="0" collapsed="false">
      <c r="A30" s="39" t="s">
        <v>122</v>
      </c>
      <c r="C30" s="40" t="n">
        <v>-4898</v>
      </c>
      <c r="G30" s="39" t="s">
        <v>123</v>
      </c>
      <c r="I30" s="40" t="n">
        <v>10521</v>
      </c>
    </row>
    <row r="31" customFormat="false" ht="15" hidden="false" customHeight="true" outlineLevel="0" collapsed="false">
      <c r="A31" s="39" t="s">
        <v>124</v>
      </c>
      <c r="C31" s="40" t="n">
        <v>-3402</v>
      </c>
      <c r="G31" s="39" t="s">
        <v>125</v>
      </c>
      <c r="I31" s="40" t="n">
        <v>9178</v>
      </c>
    </row>
    <row r="32" customFormat="false" ht="15" hidden="false" customHeight="true" outlineLevel="0" collapsed="false">
      <c r="A32" s="39" t="s">
        <v>126</v>
      </c>
      <c r="C32" s="40" t="n">
        <v>-3241</v>
      </c>
      <c r="G32" s="39" t="s">
        <v>127</v>
      </c>
      <c r="I32" s="40" t="n">
        <v>27918</v>
      </c>
    </row>
    <row r="33" customFormat="false" ht="15" hidden="false" customHeight="true" outlineLevel="0" collapsed="false">
      <c r="A33" s="39" t="s">
        <v>128</v>
      </c>
      <c r="C33" s="40" t="n">
        <v>-719</v>
      </c>
      <c r="G33" s="39" t="s">
        <v>129</v>
      </c>
      <c r="I33" s="40" t="n">
        <v>61802</v>
      </c>
    </row>
    <row r="34" customFormat="false" ht="15" hidden="false" customHeight="true" outlineLevel="0" collapsed="false">
      <c r="A34" s="42" t="s">
        <v>130</v>
      </c>
      <c r="C34" s="43" t="n">
        <f aca="false">SUM(C27:C33)</f>
        <v>5565</v>
      </c>
    </row>
    <row r="35" customFormat="false" ht="15" hidden="false" customHeight="true" outlineLevel="0" collapsed="false">
      <c r="A35" s="39" t="s">
        <v>131</v>
      </c>
      <c r="C35" s="40" t="n">
        <v>-440</v>
      </c>
      <c r="G35" s="42" t="s">
        <v>132</v>
      </c>
      <c r="I35" s="44" t="n">
        <f aca="false">I30-I29</f>
        <v>2888</v>
      </c>
    </row>
    <row r="36" customFormat="false" ht="15" hidden="false" customHeight="true" outlineLevel="0" collapsed="false">
      <c r="A36" s="39" t="s">
        <v>133</v>
      </c>
      <c r="C36" s="40" t="n">
        <v>743</v>
      </c>
    </row>
    <row r="37" customFormat="false" ht="15" hidden="false" customHeight="true" outlineLevel="0" collapsed="false">
      <c r="A37" s="39" t="s">
        <v>134</v>
      </c>
      <c r="C37" s="40" t="n">
        <v>-68</v>
      </c>
    </row>
    <row r="38" customFormat="false" ht="15" hidden="false" customHeight="true" outlineLevel="0" collapsed="false">
      <c r="A38" s="42" t="s">
        <v>135</v>
      </c>
      <c r="C38" s="43" t="n">
        <f aca="false">C34+SUM(C35:C37)</f>
        <v>5800</v>
      </c>
    </row>
    <row r="39" customFormat="false" ht="15" hidden="false" customHeight="true" outlineLevel="0" collapsed="false">
      <c r="A39" s="39" t="s">
        <v>136</v>
      </c>
      <c r="C39" s="40" t="n">
        <v>4346</v>
      </c>
    </row>
    <row r="40" customFormat="false" ht="15" hidden="false" customHeight="true" outlineLevel="0" collapsed="false">
      <c r="A40" s="39" t="s">
        <v>137</v>
      </c>
      <c r="C40" s="40" t="n">
        <v>-53</v>
      </c>
    </row>
    <row r="41" customFormat="false" ht="15" hidden="false" customHeight="true" outlineLevel="0" collapsed="false">
      <c r="A41" s="42" t="s">
        <v>138</v>
      </c>
      <c r="C41" s="43" t="n">
        <f aca="false">C38+C39+C40</f>
        <v>10093</v>
      </c>
    </row>
  </sheetData>
  <mergeCells count="4">
    <mergeCell ref="A1:H1"/>
    <mergeCell ref="A2:H2"/>
    <mergeCell ref="A26:E26"/>
    <mergeCell ref="G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496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25.5" hidden="false" customHeight="true" outlineLevel="0" collapsed="false">
      <c r="A1" s="2" t="s">
        <v>139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140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29" t="s">
        <v>141</v>
      </c>
      <c r="B4" s="29"/>
      <c r="C4" s="29"/>
      <c r="D4" s="29"/>
      <c r="E4" s="29"/>
      <c r="F4" s="29"/>
    </row>
    <row r="5" customFormat="false" ht="15" hidden="false" customHeight="true" outlineLevel="0" collapsed="false">
      <c r="A5" s="33" t="s">
        <v>142</v>
      </c>
      <c r="C5" s="45" t="n">
        <v>0.27</v>
      </c>
      <c r="D5" s="46" t="s">
        <v>143</v>
      </c>
    </row>
    <row r="6" customFormat="false" ht="15" hidden="false" customHeight="true" outlineLevel="0" collapsed="false">
      <c r="A6" s="33" t="s">
        <v>144</v>
      </c>
      <c r="C6" s="45" t="n">
        <v>0.013</v>
      </c>
      <c r="D6" s="46" t="s">
        <v>145</v>
      </c>
    </row>
    <row r="7" customFormat="false" ht="15" hidden="false" customHeight="true" outlineLevel="0" collapsed="false">
      <c r="A7" s="33" t="s">
        <v>146</v>
      </c>
      <c r="C7" s="47" t="n">
        <v>2040</v>
      </c>
      <c r="D7" s="46" t="s">
        <v>147</v>
      </c>
    </row>
    <row r="8" customFormat="false" ht="15" hidden="false" customHeight="true" outlineLevel="0" collapsed="false">
      <c r="A8" s="33" t="s">
        <v>148</v>
      </c>
      <c r="C8" s="48" t="n">
        <v>73</v>
      </c>
      <c r="D8" s="46" t="s">
        <v>149</v>
      </c>
    </row>
    <row r="9" customFormat="false" ht="15" hidden="false" customHeight="true" outlineLevel="0" collapsed="false">
      <c r="A9" s="33" t="s">
        <v>150</v>
      </c>
      <c r="C9" s="49" t="n">
        <v>10521</v>
      </c>
      <c r="D9" s="46" t="s">
        <v>151</v>
      </c>
    </row>
    <row r="10" customFormat="false" ht="15" hidden="false" customHeight="true" outlineLevel="0" collapsed="false">
      <c r="A10" s="33" t="s">
        <v>152</v>
      </c>
      <c r="C10" s="49" t="n">
        <v>7633</v>
      </c>
      <c r="D10" s="46" t="s">
        <v>153</v>
      </c>
    </row>
    <row r="11" customFormat="false" ht="15" hidden="false" customHeight="true" outlineLevel="0" collapsed="false">
      <c r="A11" s="33" t="s">
        <v>154</v>
      </c>
      <c r="C11" s="50" t="n">
        <f aca="false">C9-C10</f>
        <v>2888</v>
      </c>
      <c r="D11" s="46" t="s">
        <v>155</v>
      </c>
    </row>
    <row r="12" customFormat="false" ht="15" hidden="false" customHeight="true" outlineLevel="0" collapsed="false">
      <c r="A12" s="33" t="s">
        <v>156</v>
      </c>
      <c r="C12" s="49" t="n">
        <v>9178</v>
      </c>
      <c r="D12" s="46" t="s">
        <v>157</v>
      </c>
    </row>
    <row r="13" customFormat="false" ht="15" hidden="false" customHeight="true" outlineLevel="0" collapsed="false">
      <c r="A13" s="33" t="s">
        <v>158</v>
      </c>
      <c r="C13" s="45" t="n">
        <v>0.3</v>
      </c>
      <c r="D13" s="46" t="s">
        <v>159</v>
      </c>
    </row>
    <row r="14" customFormat="false" ht="15" hidden="false" customHeight="true" outlineLevel="0" collapsed="false">
      <c r="A14" s="33" t="s">
        <v>160</v>
      </c>
      <c r="C14" s="50" t="n">
        <f aca="false">C12*(1-C13)</f>
        <v>6424.6</v>
      </c>
      <c r="D14" s="46" t="s">
        <v>161</v>
      </c>
    </row>
    <row r="17" customFormat="false" ht="15" hidden="false" customHeight="true" outlineLevel="0" collapsed="false">
      <c r="A17" s="29" t="s">
        <v>162</v>
      </c>
      <c r="B17" s="29"/>
      <c r="C17" s="51" t="s">
        <v>163</v>
      </c>
      <c r="D17" s="52" t="s">
        <v>164</v>
      </c>
      <c r="E17" s="53" t="s">
        <v>165</v>
      </c>
    </row>
    <row r="18" customFormat="false" ht="15" hidden="false" customHeight="true" outlineLevel="0" collapsed="false">
      <c r="A18" s="39" t="s">
        <v>166</v>
      </c>
      <c r="C18" s="54" t="n">
        <v>0.12</v>
      </c>
      <c r="D18" s="54" t="n">
        <v>0.18</v>
      </c>
      <c r="E18" s="54" t="n">
        <v>0.22</v>
      </c>
    </row>
    <row r="19" customFormat="false" ht="15" hidden="false" customHeight="true" outlineLevel="0" collapsed="false">
      <c r="A19" s="39" t="s">
        <v>167</v>
      </c>
      <c r="C19" s="54" t="n">
        <v>0.09</v>
      </c>
      <c r="D19" s="54" t="n">
        <v>0.16</v>
      </c>
      <c r="E19" s="54" t="n">
        <v>0.2</v>
      </c>
    </row>
    <row r="20" customFormat="false" ht="15" hidden="false" customHeight="true" outlineLevel="0" collapsed="false">
      <c r="A20" s="39" t="s">
        <v>168</v>
      </c>
      <c r="C20" s="54" t="n">
        <v>0.06</v>
      </c>
      <c r="D20" s="54" t="n">
        <v>0.14</v>
      </c>
      <c r="E20" s="54" t="n">
        <v>0.17</v>
      </c>
    </row>
    <row r="21" customFormat="false" ht="15" hidden="false" customHeight="true" outlineLevel="0" collapsed="false">
      <c r="A21" s="39" t="s">
        <v>169</v>
      </c>
      <c r="C21" s="54" t="n">
        <v>0.04</v>
      </c>
      <c r="D21" s="54" t="n">
        <v>0.12</v>
      </c>
      <c r="E21" s="54" t="n">
        <v>0.15</v>
      </c>
    </row>
    <row r="22" customFormat="false" ht="15" hidden="false" customHeight="true" outlineLevel="0" collapsed="false">
      <c r="A22" s="39" t="s">
        <v>170</v>
      </c>
      <c r="C22" s="54" t="n">
        <v>0.03</v>
      </c>
      <c r="D22" s="54" t="n">
        <v>0.11</v>
      </c>
      <c r="E22" s="54" t="n">
        <v>0.13</v>
      </c>
    </row>
    <row r="23" customFormat="false" ht="15" hidden="false" customHeight="true" outlineLevel="0" collapsed="false">
      <c r="A23" s="39" t="s">
        <v>171</v>
      </c>
      <c r="C23" s="54" t="n">
        <v>0.043</v>
      </c>
      <c r="D23" s="54" t="n">
        <v>0.048</v>
      </c>
      <c r="E23" s="54" t="n">
        <v>0.05</v>
      </c>
    </row>
    <row r="24" customFormat="false" ht="15" hidden="false" customHeight="true" outlineLevel="0" collapsed="false">
      <c r="A24" s="39" t="s">
        <v>172</v>
      </c>
      <c r="C24" s="54" t="n">
        <v>0.042</v>
      </c>
      <c r="D24" s="54" t="n">
        <v>0.052</v>
      </c>
      <c r="E24" s="54" t="n">
        <v>0.056</v>
      </c>
    </row>
    <row r="25" customFormat="false" ht="15" hidden="false" customHeight="true" outlineLevel="0" collapsed="false">
      <c r="A25" s="39" t="s">
        <v>173</v>
      </c>
      <c r="C25" s="54" t="n">
        <v>0.042</v>
      </c>
      <c r="D25" s="54" t="n">
        <v>0.056</v>
      </c>
      <c r="E25" s="54" t="n">
        <v>0.062</v>
      </c>
    </row>
    <row r="26" customFormat="false" ht="15" hidden="false" customHeight="true" outlineLevel="0" collapsed="false">
      <c r="A26" s="39" t="s">
        <v>174</v>
      </c>
      <c r="C26" s="54" t="n">
        <v>0.043</v>
      </c>
      <c r="D26" s="54" t="n">
        <v>0.06</v>
      </c>
      <c r="E26" s="54" t="n">
        <v>0.068</v>
      </c>
    </row>
    <row r="27" customFormat="false" ht="15" hidden="false" customHeight="true" outlineLevel="0" collapsed="false">
      <c r="A27" s="39" t="s">
        <v>175</v>
      </c>
      <c r="C27" s="54" t="n">
        <v>0.045</v>
      </c>
      <c r="D27" s="54" t="n">
        <v>0.063</v>
      </c>
      <c r="E27" s="54" t="n">
        <v>0.072</v>
      </c>
    </row>
    <row r="28" customFormat="false" ht="15" hidden="false" customHeight="true" outlineLevel="0" collapsed="false">
      <c r="A28" s="39" t="s">
        <v>176</v>
      </c>
      <c r="C28" s="54" t="n">
        <v>0.036</v>
      </c>
      <c r="D28" s="54" t="n">
        <v>0.032</v>
      </c>
      <c r="E28" s="54" t="n">
        <v>0.03</v>
      </c>
    </row>
    <row r="29" customFormat="false" ht="15" hidden="false" customHeight="true" outlineLevel="0" collapsed="false">
      <c r="A29" s="39" t="s">
        <v>177</v>
      </c>
      <c r="C29" s="54" t="n">
        <v>0.012</v>
      </c>
      <c r="D29" s="54" t="n">
        <v>0.008</v>
      </c>
      <c r="E29" s="54" t="n">
        <v>0.007</v>
      </c>
    </row>
    <row r="30" customFormat="false" ht="15" hidden="false" customHeight="true" outlineLevel="0" collapsed="false">
      <c r="A30" s="39" t="s">
        <v>178</v>
      </c>
      <c r="C30" s="54" t="n">
        <v>-0.003</v>
      </c>
      <c r="D30" s="54" t="n">
        <v>0.007</v>
      </c>
      <c r="E30" s="54" t="n">
        <v>0.008</v>
      </c>
    </row>
    <row r="31" customFormat="false" ht="15" hidden="false" customHeight="true" outlineLevel="0" collapsed="false">
      <c r="A31" s="39" t="s">
        <v>179</v>
      </c>
      <c r="C31" s="54" t="n">
        <v>0.22</v>
      </c>
      <c r="D31" s="54" t="n">
        <v>0.21</v>
      </c>
      <c r="E31" s="54" t="n">
        <v>0.2</v>
      </c>
    </row>
    <row r="32" customFormat="false" ht="15" hidden="false" customHeight="true" outlineLevel="0" collapsed="false">
      <c r="A32" s="39" t="s">
        <v>180</v>
      </c>
      <c r="C32" s="54" t="n">
        <v>0.11</v>
      </c>
      <c r="D32" s="54" t="n">
        <v>0.095</v>
      </c>
      <c r="E32" s="54" t="n">
        <v>0.09</v>
      </c>
    </row>
    <row r="33" customFormat="false" ht="15" hidden="false" customHeight="true" outlineLevel="0" collapsed="false">
      <c r="A33" s="39" t="s">
        <v>181</v>
      </c>
      <c r="C33" s="54" t="n">
        <v>0.02</v>
      </c>
      <c r="D33" s="54" t="n">
        <v>0.03</v>
      </c>
      <c r="E33" s="54" t="n">
        <v>0.035</v>
      </c>
    </row>
    <row r="34" customFormat="false" ht="15" hidden="false" customHeight="true" outlineLevel="0" collapsed="false">
      <c r="A34" s="39" t="s">
        <v>182</v>
      </c>
      <c r="C34" s="55" t="n">
        <v>9</v>
      </c>
      <c r="D34" s="55" t="n">
        <v>13</v>
      </c>
      <c r="E34" s="55" t="n">
        <v>16</v>
      </c>
    </row>
    <row r="35" customFormat="false" ht="15" hidden="false" customHeight="true" outlineLevel="0" collapsed="false">
      <c r="A35" s="39" t="s">
        <v>183</v>
      </c>
      <c r="C35" s="54" t="n">
        <v>0.25</v>
      </c>
      <c r="D35" s="54" t="n">
        <v>0.5</v>
      </c>
      <c r="E35" s="54" t="n">
        <v>0.25</v>
      </c>
    </row>
    <row r="36" customFormat="false" ht="15" hidden="false" customHeight="true" outlineLevel="0" collapsed="false">
      <c r="A36" s="46" t="s">
        <v>184</v>
      </c>
      <c r="C36" s="56" t="n">
        <f aca="false">SUM(C35:E35)</f>
        <v>1</v>
      </c>
    </row>
  </sheetData>
  <mergeCells count="4">
    <mergeCell ref="A1:F1"/>
    <mergeCell ref="A2:F2"/>
    <mergeCell ref="A4:F4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496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"/>
    <col collapsed="false" customWidth="true" hidden="false" outlineLevel="0" max="8" min="3" style="1" width="12"/>
  </cols>
  <sheetData>
    <row r="1" customFormat="false" ht="25.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186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9" t="s">
        <v>95</v>
      </c>
      <c r="C4" s="30" t="s">
        <v>187</v>
      </c>
      <c r="D4" s="30" t="s">
        <v>188</v>
      </c>
      <c r="E4" s="30" t="s">
        <v>189</v>
      </c>
      <c r="F4" s="30" t="s">
        <v>190</v>
      </c>
      <c r="G4" s="30" t="s">
        <v>191</v>
      </c>
      <c r="H4" s="30" t="s">
        <v>192</v>
      </c>
    </row>
    <row r="5" customFormat="false" ht="15" hidden="false" customHeight="true" outlineLevel="0" collapsed="false">
      <c r="A5" s="31" t="s">
        <v>11</v>
      </c>
      <c r="C5" s="57" t="n">
        <f aca="false">'Historical Financials'!G5</f>
        <v>193454</v>
      </c>
      <c r="D5" s="50" t="n">
        <f aca="false">C5*(1+D6)</f>
        <v>228275.72</v>
      </c>
      <c r="E5" s="50" t="n">
        <f aca="false">D5*(1+E6)</f>
        <v>264799.8352</v>
      </c>
      <c r="F5" s="50" t="n">
        <f aca="false">E5*(1+F6)</f>
        <v>301871.812128</v>
      </c>
      <c r="G5" s="50" t="n">
        <f aca="false">F5*(1+G6)</f>
        <v>338096.42958336</v>
      </c>
      <c r="H5" s="50" t="n">
        <f aca="false">G5*(1+H6)</f>
        <v>375287.03683753</v>
      </c>
    </row>
    <row r="6" customFormat="false" ht="15" hidden="false" customHeight="true" outlineLevel="0" collapsed="false">
      <c r="A6" s="33" t="s">
        <v>193</v>
      </c>
      <c r="D6" s="58" t="n">
        <f aca="false">Assumptions!D18</f>
        <v>0.18</v>
      </c>
      <c r="E6" s="58" t="n">
        <f aca="false">Assumptions!D19</f>
        <v>0.16</v>
      </c>
      <c r="F6" s="58" t="n">
        <f aca="false">Assumptions!D20</f>
        <v>0.14</v>
      </c>
      <c r="G6" s="58" t="n">
        <f aca="false">Assumptions!D21</f>
        <v>0.12</v>
      </c>
      <c r="H6" s="58" t="n">
        <f aca="false">Assumptions!D22</f>
        <v>0.11</v>
      </c>
    </row>
    <row r="7" customFormat="false" ht="15" hidden="false" customHeight="true" outlineLevel="0" collapsed="false">
      <c r="A7" s="31" t="s">
        <v>13</v>
      </c>
      <c r="C7" s="57" t="n">
        <f aca="false">'Historical Financials'!G7</f>
        <v>52017</v>
      </c>
      <c r="D7" s="50" t="n">
        <f aca="false">D5*Assumptions!$C$5</f>
        <v>61634.4444</v>
      </c>
      <c r="E7" s="50" t="n">
        <f aca="false">E5*Assumptions!$C$5</f>
        <v>71495.955504</v>
      </c>
      <c r="F7" s="50" t="n">
        <f aca="false">F5*Assumptions!$C$5</f>
        <v>81505.38927456</v>
      </c>
      <c r="G7" s="50" t="n">
        <f aca="false">G5*Assumptions!$C$5</f>
        <v>91286.0359875072</v>
      </c>
      <c r="H7" s="50" t="n">
        <f aca="false">H5*Assumptions!$C$5</f>
        <v>101327.499946133</v>
      </c>
    </row>
    <row r="8" customFormat="false" ht="15" hidden="false" customHeight="true" outlineLevel="0" collapsed="false">
      <c r="A8" s="31" t="s">
        <v>194</v>
      </c>
      <c r="C8" s="57" t="n">
        <f aca="false">'Historical Financials'!G10</f>
        <v>8730</v>
      </c>
      <c r="D8" s="50" t="n">
        <f aca="false">D5*Assumptions!D23</f>
        <v>10957.23456</v>
      </c>
      <c r="E8" s="50" t="n">
        <f aca="false">E5*Assumptions!D24</f>
        <v>13769.5914304</v>
      </c>
      <c r="F8" s="50" t="n">
        <f aca="false">F5*Assumptions!D25</f>
        <v>16904.821479168</v>
      </c>
      <c r="G8" s="50" t="n">
        <f aca="false">G5*Assumptions!D26</f>
        <v>20285.7857750016</v>
      </c>
      <c r="H8" s="50" t="n">
        <f aca="false">H5*Assumptions!D27</f>
        <v>23643.0833207644</v>
      </c>
    </row>
    <row r="9" customFormat="false" ht="15" hidden="false" customHeight="true" outlineLevel="0" collapsed="false">
      <c r="A9" s="33" t="s">
        <v>195</v>
      </c>
      <c r="C9" s="34" t="n">
        <f aca="false">C8/C5</f>
        <v>0.0451270069370496</v>
      </c>
      <c r="D9" s="59" t="n">
        <f aca="false">D8/D5</f>
        <v>0.048</v>
      </c>
      <c r="E9" s="59" t="n">
        <f aca="false">E8/E5</f>
        <v>0.052</v>
      </c>
      <c r="F9" s="59" t="n">
        <f aca="false">F8/F5</f>
        <v>0.056</v>
      </c>
      <c r="G9" s="59" t="n">
        <f aca="false">G8/G5</f>
        <v>0.06</v>
      </c>
      <c r="H9" s="59" t="n">
        <f aca="false">H8/H5</f>
        <v>0.063</v>
      </c>
    </row>
    <row r="10" customFormat="false" ht="15" hidden="false" customHeight="true" outlineLevel="0" collapsed="false">
      <c r="A10" s="33" t="s">
        <v>196</v>
      </c>
      <c r="D10" s="50" t="n">
        <f aca="false">-D7*Assumptions!$D$28</f>
        <v>-1972.3022208</v>
      </c>
      <c r="E10" s="50" t="n">
        <f aca="false">-E7*Assumptions!$D$28</f>
        <v>-2287.870576128</v>
      </c>
      <c r="F10" s="50" t="n">
        <f aca="false">-F7*Assumptions!$D$28</f>
        <v>-2608.17245678592</v>
      </c>
      <c r="G10" s="50" t="n">
        <f aca="false">-G7*Assumptions!$D$28</f>
        <v>-2921.15315160023</v>
      </c>
      <c r="H10" s="50" t="n">
        <f aca="false">-H7*Assumptions!$D$28</f>
        <v>-3242.47999827626</v>
      </c>
    </row>
    <row r="11" customFormat="false" ht="15" hidden="false" customHeight="true" outlineLevel="0" collapsed="false">
      <c r="A11" s="33" t="s">
        <v>197</v>
      </c>
      <c r="D11" s="50" t="n">
        <f aca="false">-D7*Assumptions!$C$6</f>
        <v>-801.2477772</v>
      </c>
      <c r="E11" s="50" t="n">
        <f aca="false">-E7*Assumptions!$C$6</f>
        <v>-929.447421552</v>
      </c>
      <c r="F11" s="50" t="n">
        <f aca="false">-F7*Assumptions!$C$6</f>
        <v>-1059.57006056928</v>
      </c>
      <c r="G11" s="50" t="n">
        <f aca="false">-G7*Assumptions!$C$6</f>
        <v>-1186.71846783759</v>
      </c>
      <c r="H11" s="50" t="n">
        <f aca="false">-H7*Assumptions!$C$6</f>
        <v>-1317.25749929973</v>
      </c>
    </row>
    <row r="12" customFormat="false" ht="15" hidden="false" customHeight="true" outlineLevel="0" collapsed="false">
      <c r="A12" s="33" t="s">
        <v>198</v>
      </c>
      <c r="D12" s="50" t="n">
        <f aca="false">D8+D10+D11</f>
        <v>8183.684562</v>
      </c>
      <c r="E12" s="50" t="n">
        <f aca="false">E8+E10+E11</f>
        <v>10552.27343272</v>
      </c>
      <c r="F12" s="50" t="n">
        <f aca="false">F8+F10+F11</f>
        <v>13237.0789618128</v>
      </c>
      <c r="G12" s="50" t="n">
        <f aca="false">G8+G10+G11</f>
        <v>16177.9141555638</v>
      </c>
      <c r="H12" s="50" t="n">
        <f aca="false">H8+H10+H11</f>
        <v>19083.3458231884</v>
      </c>
    </row>
    <row r="13" customFormat="false" ht="15" hidden="false" customHeight="true" outlineLevel="0" collapsed="false">
      <c r="A13" s="33" t="s">
        <v>199</v>
      </c>
      <c r="D13" s="50" t="n">
        <f aca="false">-D12*Assumptions!$D$31</f>
        <v>-1718.57375802</v>
      </c>
      <c r="E13" s="50" t="n">
        <f aca="false">-E12*Assumptions!$D$31</f>
        <v>-2215.9774208712</v>
      </c>
      <c r="F13" s="50" t="n">
        <f aca="false">-F12*Assumptions!$D$31</f>
        <v>-2779.78658198069</v>
      </c>
      <c r="G13" s="50" t="n">
        <f aca="false">-G12*Assumptions!$D$31</f>
        <v>-3397.36197266839</v>
      </c>
      <c r="H13" s="50" t="n">
        <f aca="false">-H12*Assumptions!$D$31</f>
        <v>-4007.50262286956</v>
      </c>
    </row>
    <row r="14" customFormat="false" ht="15" hidden="false" customHeight="true" outlineLevel="0" collapsed="false">
      <c r="A14" s="33" t="s">
        <v>200</v>
      </c>
      <c r="D14" s="50" t="n">
        <f aca="false">D12+D13</f>
        <v>6465.11080398</v>
      </c>
      <c r="E14" s="50" t="n">
        <f aca="false">E12+E13</f>
        <v>8336.2960118488</v>
      </c>
      <c r="F14" s="50" t="n">
        <f aca="false">F12+F13</f>
        <v>10457.2923798321</v>
      </c>
      <c r="G14" s="50" t="n">
        <f aca="false">G12+G13</f>
        <v>12780.5521828954</v>
      </c>
      <c r="H14" s="50" t="n">
        <f aca="false">H12+H13</f>
        <v>15075.8432003188</v>
      </c>
    </row>
    <row r="15" customFormat="false" ht="15" hidden="false" customHeight="true" outlineLevel="0" collapsed="false">
      <c r="A15" s="33" t="s">
        <v>201</v>
      </c>
      <c r="D15" s="50" t="n">
        <f aca="false">-D11</f>
        <v>801.2477772</v>
      </c>
      <c r="E15" s="50" t="n">
        <f aca="false">-E11</f>
        <v>929.447421552</v>
      </c>
      <c r="F15" s="50" t="n">
        <f aca="false">-F11</f>
        <v>1059.57006056928</v>
      </c>
      <c r="G15" s="50" t="n">
        <f aca="false">-G11</f>
        <v>1186.71846783759</v>
      </c>
      <c r="H15" s="50" t="n">
        <f aca="false">-H11</f>
        <v>1317.25749929973</v>
      </c>
    </row>
    <row r="16" customFormat="false" ht="15" hidden="false" customHeight="true" outlineLevel="0" collapsed="false">
      <c r="A16" s="33" t="s">
        <v>202</v>
      </c>
      <c r="D16" s="50" t="n">
        <f aca="false">-D7*Assumptions!$D$29</f>
        <v>-493.0755552</v>
      </c>
      <c r="E16" s="50" t="n">
        <f aca="false">-E7*Assumptions!$D$29</f>
        <v>-571.967644032</v>
      </c>
      <c r="F16" s="50" t="n">
        <f aca="false">-F7*Assumptions!$D$29</f>
        <v>-652.04311419648</v>
      </c>
      <c r="G16" s="50" t="n">
        <f aca="false">-G7*Assumptions!$D$29</f>
        <v>-730.288287900058</v>
      </c>
      <c r="H16" s="50" t="n">
        <f aca="false">-H7*Assumptions!$D$29</f>
        <v>-810.619999569064</v>
      </c>
    </row>
    <row r="17" customFormat="false" ht="15" hidden="false" customHeight="true" outlineLevel="0" collapsed="false">
      <c r="A17" s="33" t="s">
        <v>203</v>
      </c>
      <c r="D17" s="50" t="n">
        <f aca="false">D7*Assumptions!$D$30</f>
        <v>431.4411108</v>
      </c>
      <c r="E17" s="50" t="n">
        <f aca="false">E7*Assumptions!$D$30</f>
        <v>500.471688528</v>
      </c>
      <c r="F17" s="50" t="n">
        <f aca="false">F7*Assumptions!$D$30</f>
        <v>570.53772492192</v>
      </c>
      <c r="G17" s="50" t="n">
        <f aca="false">G7*Assumptions!$D$30</f>
        <v>639.002251912551</v>
      </c>
      <c r="H17" s="50" t="n">
        <f aca="false">H7*Assumptions!$D$30</f>
        <v>709.292499622931</v>
      </c>
    </row>
    <row r="18" customFormat="false" ht="15" hidden="false" customHeight="true" outlineLevel="0" collapsed="false">
      <c r="A18" s="31" t="s">
        <v>204</v>
      </c>
      <c r="C18" s="60" t="n">
        <f aca="false">'Historical Financials'!G15</f>
        <v>9763</v>
      </c>
      <c r="D18" s="61" t="n">
        <f aca="false">D14+D15+D16+D17</f>
        <v>7204.72413678</v>
      </c>
      <c r="E18" s="61" t="n">
        <f aca="false">E14+E15+E16+E17</f>
        <v>9194.2474778968</v>
      </c>
      <c r="F18" s="61" t="n">
        <f aca="false">F14+F15+F16+F17</f>
        <v>11435.3570511268</v>
      </c>
      <c r="G18" s="61" t="n">
        <f aca="false">G14+G15+G16+G17</f>
        <v>13875.9846147455</v>
      </c>
      <c r="H18" s="61" t="n">
        <f aca="false">H14+H15+H16+H17</f>
        <v>16291.7731996724</v>
      </c>
    </row>
    <row r="19" customFormat="false" ht="15" hidden="false" customHeight="true" outlineLevel="0" collapsed="false">
      <c r="A19" s="33" t="s">
        <v>205</v>
      </c>
      <c r="C19" s="34" t="n">
        <f aca="false">C18/C7</f>
        <v>0.187688640252225</v>
      </c>
      <c r="D19" s="59" t="n">
        <f aca="false">D18/D7</f>
        <v>0.116894444444444</v>
      </c>
      <c r="E19" s="59" t="n">
        <f aca="false">E18/E7</f>
        <v>0.128598148148148</v>
      </c>
      <c r="F19" s="59" t="n">
        <f aca="false">F18/F7</f>
        <v>0.140301851851852</v>
      </c>
      <c r="G19" s="59" t="n">
        <f aca="false">G18/G7</f>
        <v>0.152005555555556</v>
      </c>
      <c r="H19" s="59" t="n">
        <f aca="false">H18/H7</f>
        <v>0.160783333333333</v>
      </c>
    </row>
    <row r="20" customFormat="false" ht="15" hidden="false" customHeight="true" outlineLevel="0" collapsed="false">
      <c r="A20" s="33" t="s">
        <v>108</v>
      </c>
      <c r="D20" s="59" t="n">
        <f aca="false">D18/D8</f>
        <v>0.65753125</v>
      </c>
      <c r="E20" s="59" t="n">
        <f aca="false">E18/E8</f>
        <v>0.667721153846154</v>
      </c>
      <c r="F20" s="59" t="n">
        <f aca="false">F18/F8</f>
        <v>0.676455357142857</v>
      </c>
      <c r="G20" s="59" t="n">
        <f aca="false">G18/G8</f>
        <v>0.684025</v>
      </c>
      <c r="H20" s="59" t="n">
        <f aca="false">H18/H8</f>
        <v>0.689071428571429</v>
      </c>
    </row>
    <row r="22" customFormat="false" ht="15" hidden="false" customHeight="true" outlineLevel="0" collapsed="false">
      <c r="A22" s="22" t="s">
        <v>206</v>
      </c>
      <c r="B22" s="22"/>
      <c r="C22" s="22"/>
      <c r="D22" s="22"/>
      <c r="E22" s="22"/>
      <c r="F22" s="22"/>
      <c r="G22" s="22"/>
      <c r="H22" s="22"/>
    </row>
    <row r="23" customFormat="false" ht="1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</row>
    <row r="24" customFormat="false" ht="1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</row>
  </sheetData>
  <mergeCells count="3">
    <mergeCell ref="A1:H1"/>
    <mergeCell ref="A2:H2"/>
    <mergeCell ref="A22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"/>
    <col collapsed="false" customWidth="true" hidden="false" outlineLevel="0" max="3" min="3" style="1" width="13"/>
    <col collapsed="false" customWidth="true" hidden="false" outlineLevel="0" max="8" min="4" style="1" width="12"/>
  </cols>
  <sheetData>
    <row r="1" customFormat="false" ht="25.5" hidden="false" customHeight="true" outlineLevel="0" collapsed="false">
      <c r="A1" s="2" t="s">
        <v>207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208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9" t="s">
        <v>209</v>
      </c>
      <c r="B4" s="29"/>
      <c r="C4" s="29"/>
      <c r="D4" s="29"/>
      <c r="E4" s="29"/>
      <c r="F4" s="29"/>
      <c r="G4" s="29"/>
      <c r="H4" s="29"/>
    </row>
    <row r="6" customFormat="false" ht="15" hidden="false" customHeight="true" outlineLevel="0" collapsed="false">
      <c r="A6" s="31" t="s">
        <v>210</v>
      </c>
      <c r="D6" s="62" t="s">
        <v>188</v>
      </c>
      <c r="E6" s="62" t="s">
        <v>189</v>
      </c>
      <c r="F6" s="62" t="s">
        <v>190</v>
      </c>
      <c r="G6" s="62" t="s">
        <v>191</v>
      </c>
      <c r="H6" s="62" t="s">
        <v>192</v>
      </c>
    </row>
    <row r="7" customFormat="false" ht="15" hidden="false" customHeight="true" outlineLevel="0" collapsed="false">
      <c r="A7" s="33" t="s">
        <v>211</v>
      </c>
      <c r="D7" s="57" t="n">
        <f aca="false">Forecast!D18</f>
        <v>7204.72413678</v>
      </c>
      <c r="E7" s="57" t="n">
        <f aca="false">Forecast!E18</f>
        <v>9194.2474778968</v>
      </c>
      <c r="F7" s="57" t="n">
        <f aca="false">Forecast!F18</f>
        <v>11435.3570511268</v>
      </c>
      <c r="G7" s="57" t="n">
        <f aca="false">Forecast!G18</f>
        <v>13875.9846147455</v>
      </c>
      <c r="H7" s="57" t="n">
        <f aca="false">Forecast!H18</f>
        <v>16291.7731996724</v>
      </c>
    </row>
    <row r="8" customFormat="false" ht="15" hidden="false" customHeight="true" outlineLevel="0" collapsed="false">
      <c r="A8" s="33" t="s">
        <v>212</v>
      </c>
      <c r="D8" s="63" t="n">
        <v>1</v>
      </c>
      <c r="E8" s="63" t="n">
        <v>2</v>
      </c>
      <c r="F8" s="63" t="n">
        <v>3</v>
      </c>
      <c r="G8" s="63" t="n">
        <v>4</v>
      </c>
      <c r="H8" s="63" t="n">
        <v>5</v>
      </c>
    </row>
    <row r="9" customFormat="false" ht="15" hidden="false" customHeight="true" outlineLevel="0" collapsed="false">
      <c r="A9" s="33" t="s">
        <v>213</v>
      </c>
      <c r="D9" s="64" t="n">
        <f aca="false">1/(1+$C$12)^D8</f>
        <v>0.91324200913242</v>
      </c>
      <c r="E9" s="64" t="n">
        <f aca="false">1/(1+$C$12)^E8</f>
        <v>0.834010967244219</v>
      </c>
      <c r="F9" s="64" t="n">
        <f aca="false">1/(1+$C$12)^F8</f>
        <v>0.761653851364584</v>
      </c>
      <c r="G9" s="64" t="n">
        <f aca="false">1/(1+$C$12)^G8</f>
        <v>0.695574293483638</v>
      </c>
      <c r="H9" s="64" t="n">
        <f aca="false">1/(1+$C$12)^H8</f>
        <v>0.635227665281862</v>
      </c>
    </row>
    <row r="10" customFormat="false" ht="15" hidden="false" customHeight="true" outlineLevel="0" collapsed="false">
      <c r="A10" s="33" t="s">
        <v>214</v>
      </c>
      <c r="D10" s="50" t="n">
        <f aca="false">D7*D9</f>
        <v>6579.65674591781</v>
      </c>
      <c r="E10" s="50" t="n">
        <f aca="false">E7*E9</f>
        <v>7668.10323212343</v>
      </c>
      <c r="F10" s="50" t="n">
        <f aca="false">F7*F9</f>
        <v>8709.7837397199</v>
      </c>
      <c r="G10" s="50" t="n">
        <f aca="false">G7*G9</f>
        <v>9651.77819479142</v>
      </c>
      <c r="H10" s="50" t="n">
        <f aca="false">H7*H9</f>
        <v>10348.9850529295</v>
      </c>
    </row>
    <row r="12" customFormat="false" ht="15" hidden="false" customHeight="true" outlineLevel="0" collapsed="false">
      <c r="A12" s="31" t="s">
        <v>215</v>
      </c>
      <c r="C12" s="65" t="n">
        <f aca="false">Assumptions!$D$32</f>
        <v>0.095</v>
      </c>
    </row>
    <row r="13" customFormat="false" ht="15" hidden="false" customHeight="true" outlineLevel="0" collapsed="false">
      <c r="A13" s="31" t="s">
        <v>216</v>
      </c>
      <c r="C13" s="65" t="n">
        <f aca="false">Assumptions!$D$33</f>
        <v>0.03</v>
      </c>
    </row>
    <row r="15" customFormat="false" ht="15" hidden="false" customHeight="true" outlineLevel="0" collapsed="false">
      <c r="A15" s="33" t="s">
        <v>217</v>
      </c>
      <c r="C15" s="50" t="n">
        <f aca="false">SUM(D10:H10)</f>
        <v>42958.3069654821</v>
      </c>
    </row>
    <row r="16" customFormat="false" ht="15" hidden="false" customHeight="true" outlineLevel="0" collapsed="false">
      <c r="A16" s="33" t="s">
        <v>218</v>
      </c>
      <c r="C16" s="50" t="n">
        <f aca="false">H7*(1+C13)/(C12-C13)</f>
        <v>258161.944548655</v>
      </c>
    </row>
    <row r="17" customFormat="false" ht="15" hidden="false" customHeight="true" outlineLevel="0" collapsed="false">
      <c r="A17" s="33" t="s">
        <v>219</v>
      </c>
      <c r="C17" s="50" t="n">
        <f aca="false">C16*H9</f>
        <v>163991.609300268</v>
      </c>
    </row>
    <row r="18" customFormat="false" ht="15" hidden="false" customHeight="true" outlineLevel="0" collapsed="false">
      <c r="A18" s="66" t="s">
        <v>220</v>
      </c>
      <c r="C18" s="59" t="n">
        <f aca="false">C17/C20</f>
        <v>0.792421723378142</v>
      </c>
    </row>
    <row r="19" customFormat="false" ht="15" hidden="false" customHeight="true" outlineLevel="0" collapsed="false">
      <c r="A19" s="66" t="s">
        <v>221</v>
      </c>
      <c r="C19" s="67" t="n">
        <f aca="false">Forecast!H8*Assumptions!$D$34*H9</f>
        <v>195243.628032878</v>
      </c>
    </row>
    <row r="20" customFormat="false" ht="15" hidden="false" customHeight="true" outlineLevel="0" collapsed="false">
      <c r="A20" s="68" t="s">
        <v>222</v>
      </c>
      <c r="C20" s="61" t="n">
        <f aca="false">C15+C17</f>
        <v>206949.91626575</v>
      </c>
    </row>
    <row r="21" customFormat="false" ht="15" hidden="false" customHeight="true" outlineLevel="0" collapsed="false">
      <c r="A21" s="33" t="s">
        <v>223</v>
      </c>
      <c r="C21" s="50" t="n">
        <f aca="false">-Assumptions!$C$11</f>
        <v>-2888</v>
      </c>
    </row>
    <row r="22" customFormat="false" ht="15" hidden="false" customHeight="true" outlineLevel="0" collapsed="false">
      <c r="A22" s="33" t="s">
        <v>224</v>
      </c>
      <c r="C22" s="50" t="n">
        <f aca="false">Assumptions!$C$14</f>
        <v>6424.6</v>
      </c>
    </row>
    <row r="23" customFormat="false" ht="15" hidden="false" customHeight="true" outlineLevel="0" collapsed="false">
      <c r="A23" s="69" t="s">
        <v>225</v>
      </c>
      <c r="C23" s="43" t="n">
        <f aca="false">C20+C21+C22</f>
        <v>210486.51626575</v>
      </c>
    </row>
    <row r="24" customFormat="false" ht="15" hidden="false" customHeight="true" outlineLevel="0" collapsed="false">
      <c r="A24" s="33" t="s">
        <v>226</v>
      </c>
      <c r="C24" s="70" t="n">
        <f aca="false">Assumptions!$C$7</f>
        <v>2040</v>
      </c>
    </row>
    <row r="25" customFormat="false" ht="15" hidden="false" customHeight="true" outlineLevel="0" collapsed="false">
      <c r="A25" s="71" t="s">
        <v>227</v>
      </c>
      <c r="C25" s="72" t="n">
        <f aca="false">C23/C24</f>
        <v>103.179664836152</v>
      </c>
    </row>
    <row r="26" customFormat="false" ht="15" hidden="false" customHeight="true" outlineLevel="0" collapsed="false">
      <c r="A26" s="33" t="s">
        <v>7</v>
      </c>
      <c r="C26" s="73" t="n">
        <f aca="false">Assumptions!$C$8</f>
        <v>73</v>
      </c>
    </row>
    <row r="27" customFormat="false" ht="15" hidden="false" customHeight="true" outlineLevel="0" collapsed="false">
      <c r="A27" s="31" t="s">
        <v>228</v>
      </c>
      <c r="C27" s="74" t="n">
        <f aca="false">C25/C26-1</f>
        <v>0.413420066248655</v>
      </c>
    </row>
    <row r="29" customFormat="false" ht="15" hidden="false" customHeight="true" outlineLevel="0" collapsed="false">
      <c r="A29" s="29" t="s">
        <v>229</v>
      </c>
      <c r="B29" s="29"/>
      <c r="C29" s="29"/>
    </row>
    <row r="30" customFormat="false" ht="15" hidden="false" customHeight="true" outlineLevel="0" collapsed="false">
      <c r="A30" s="33" t="s">
        <v>230</v>
      </c>
      <c r="C30" s="75" t="n">
        <f aca="false">C20/Forecast!D8</f>
        <v>18.8870572344259</v>
      </c>
    </row>
    <row r="31" customFormat="false" ht="15" hidden="false" customHeight="true" outlineLevel="0" collapsed="false">
      <c r="A31" s="33" t="s">
        <v>231</v>
      </c>
      <c r="C31" s="75" t="n">
        <f aca="false">C20/Forecast!H8</f>
        <v>8.75308492797119</v>
      </c>
    </row>
    <row r="32" customFormat="false" ht="15" hidden="false" customHeight="true" outlineLevel="0" collapsed="false">
      <c r="A32" s="33" t="s">
        <v>232</v>
      </c>
      <c r="C32" s="75" t="n">
        <f aca="false">C20/Forecast!D7</f>
        <v>3.35769906389794</v>
      </c>
    </row>
    <row r="33" customFormat="false" ht="15" hidden="false" customHeight="true" outlineLevel="0" collapsed="false">
      <c r="A33" s="33" t="s">
        <v>233</v>
      </c>
      <c r="C33" s="75" t="n">
        <f aca="false">C23/'Historical Financials'!G15</f>
        <v>21.5596144899877</v>
      </c>
    </row>
    <row r="35" customFormat="false" ht="15" hidden="false" customHeight="true" outlineLevel="0" collapsed="false">
      <c r="A35" s="19" t="s">
        <v>234</v>
      </c>
      <c r="B35" s="19"/>
      <c r="C35" s="19"/>
      <c r="D35" s="19"/>
      <c r="E35" s="19"/>
      <c r="F35" s="19"/>
      <c r="G35" s="19"/>
      <c r="H35" s="19"/>
    </row>
    <row r="36" customFormat="false" ht="1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</row>
    <row r="37" customFormat="false" ht="1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</row>
  </sheetData>
  <mergeCells count="5">
    <mergeCell ref="A1:H1"/>
    <mergeCell ref="A2:H2"/>
    <mergeCell ref="A4:H4"/>
    <mergeCell ref="A29:C29"/>
    <mergeCell ref="A35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"/>
    <col collapsed="false" customWidth="true" hidden="false" outlineLevel="0" max="3" min="3" style="1" width="13"/>
    <col collapsed="false" customWidth="true" hidden="false" outlineLevel="0" max="9" min="4" style="1" width="12"/>
  </cols>
  <sheetData>
    <row r="1" customFormat="false" ht="25.5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29" t="s">
        <v>237</v>
      </c>
      <c r="B4" s="29"/>
      <c r="C4" s="29"/>
      <c r="D4" s="29"/>
      <c r="E4" s="29"/>
    </row>
    <row r="5" customFormat="false" ht="15" hidden="false" customHeight="true" outlineLevel="0" collapsed="false">
      <c r="A5" s="76" t="s">
        <v>238</v>
      </c>
      <c r="C5" s="51" t="s">
        <v>163</v>
      </c>
      <c r="D5" s="52" t="s">
        <v>164</v>
      </c>
      <c r="E5" s="53" t="s">
        <v>165</v>
      </c>
    </row>
    <row r="6" customFormat="false" ht="15" hidden="false" customHeight="true" outlineLevel="0" collapsed="false">
      <c r="A6" s="39" t="s">
        <v>239</v>
      </c>
      <c r="C6" s="77" t="n">
        <f aca="false">H21</f>
        <v>268162.88163159</v>
      </c>
      <c r="D6" s="77" t="n">
        <f aca="false">H35</f>
        <v>375287.03683753</v>
      </c>
      <c r="E6" s="77" t="n">
        <f aca="false">H49</f>
        <v>430606.85203224</v>
      </c>
    </row>
    <row r="7" customFormat="false" ht="15" hidden="false" customHeight="true" outlineLevel="0" collapsed="false">
      <c r="A7" s="39" t="s">
        <v>240</v>
      </c>
      <c r="C7" s="77" t="n">
        <f aca="false">H22</f>
        <v>12067.3296734216</v>
      </c>
      <c r="D7" s="77" t="n">
        <f aca="false">H36</f>
        <v>23643.0833207644</v>
      </c>
      <c r="E7" s="77" t="n">
        <f aca="false">H50</f>
        <v>31003.6933463213</v>
      </c>
    </row>
    <row r="8" customFormat="false" ht="15" hidden="false" customHeight="true" outlineLevel="0" collapsed="false">
      <c r="A8" s="39" t="s">
        <v>241</v>
      </c>
      <c r="C8" s="77" t="n">
        <f aca="false">C29</f>
        <v>64101.817503488</v>
      </c>
      <c r="D8" s="77" t="n">
        <f aca="false">C43</f>
        <v>206949.91626575</v>
      </c>
      <c r="E8" s="77" t="n">
        <f aca="false">C57</f>
        <v>330239.317367115</v>
      </c>
    </row>
    <row r="9" customFormat="false" ht="15" hidden="false" customHeight="true" outlineLevel="0" collapsed="false">
      <c r="A9" s="39" t="s">
        <v>242</v>
      </c>
      <c r="C9" s="77" t="n">
        <f aca="false">C30</f>
        <v>67638.417503488</v>
      </c>
      <c r="D9" s="77" t="n">
        <f aca="false">C44</f>
        <v>210486.51626575</v>
      </c>
      <c r="E9" s="77" t="n">
        <f aca="false">C58</f>
        <v>333775.917367115</v>
      </c>
    </row>
    <row r="10" customFormat="false" ht="15" hidden="false" customHeight="true" outlineLevel="0" collapsed="false">
      <c r="A10" s="39" t="s">
        <v>243</v>
      </c>
      <c r="C10" s="78" t="n">
        <f aca="false">C31</f>
        <v>33.1560870115137</v>
      </c>
      <c r="D10" s="78" t="n">
        <f aca="false">C45</f>
        <v>103.179664836152</v>
      </c>
      <c r="E10" s="78" t="n">
        <f aca="false">C59</f>
        <v>163.615645768193</v>
      </c>
    </row>
    <row r="11" customFormat="false" ht="15" hidden="false" customHeight="true" outlineLevel="0" collapsed="false">
      <c r="A11" s="39" t="s">
        <v>244</v>
      </c>
      <c r="C11" s="59" t="n">
        <f aca="false">C32</f>
        <v>-0.545807027239538</v>
      </c>
      <c r="D11" s="59" t="n">
        <f aca="false">C46</f>
        <v>0.413420066248655</v>
      </c>
      <c r="E11" s="59" t="n">
        <f aca="false">C60</f>
        <v>1.24131021600265</v>
      </c>
    </row>
    <row r="12" customFormat="false" ht="15" hidden="false" customHeight="true" outlineLevel="0" collapsed="false">
      <c r="A12" s="39" t="s">
        <v>245</v>
      </c>
      <c r="C12" s="77" t="n">
        <f aca="false">C28</f>
        <v>43720.467525973</v>
      </c>
      <c r="D12" s="77" t="n">
        <f aca="false">C42</f>
        <v>163991.609300268</v>
      </c>
      <c r="E12" s="77" t="n">
        <f aca="false">C56</f>
        <v>274345.056377866</v>
      </c>
    </row>
    <row r="13" customFormat="false" ht="15" hidden="false" customHeight="true" outlineLevel="0" collapsed="false">
      <c r="A13" s="39" t="s">
        <v>246</v>
      </c>
      <c r="C13" s="79" t="n">
        <f aca="false">Assumptions!C$35</f>
        <v>0.25</v>
      </c>
      <c r="D13" s="79" t="n">
        <f aca="false">Assumptions!D$35</f>
        <v>0.5</v>
      </c>
      <c r="E13" s="79" t="n">
        <f aca="false">Assumptions!E$35</f>
        <v>0.25</v>
      </c>
    </row>
    <row r="14" customFormat="false" ht="15" hidden="false" customHeight="true" outlineLevel="0" collapsed="false">
      <c r="A14" s="4" t="s">
        <v>247</v>
      </c>
      <c r="B14" s="4"/>
      <c r="C14" s="72" t="n">
        <f aca="false">C10*C13+D10*D13+E10*E13</f>
        <v>100.782765613003</v>
      </c>
      <c r="D14" s="80" t="s">
        <v>248</v>
      </c>
      <c r="E14" s="74" t="n">
        <f aca="false">C14/Assumptions!$C$8-1</f>
        <v>0.380585830315106</v>
      </c>
    </row>
    <row r="16" customFormat="false" ht="15" hidden="false" customHeight="true" outlineLevel="0" collapsed="false">
      <c r="A16" s="19" t="s">
        <v>249</v>
      </c>
      <c r="B16" s="19"/>
      <c r="C16" s="19"/>
      <c r="D16" s="19"/>
      <c r="E16" s="19"/>
      <c r="F16" s="19"/>
      <c r="G16" s="19"/>
      <c r="H16" s="19"/>
      <c r="I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20" customFormat="false" ht="15" hidden="false" customHeight="true" outlineLevel="0" collapsed="false">
      <c r="A20" s="29" t="s">
        <v>250</v>
      </c>
      <c r="B20" s="29"/>
      <c r="C20" s="29"/>
      <c r="D20" s="51" t="s">
        <v>188</v>
      </c>
      <c r="E20" s="51" t="s">
        <v>189</v>
      </c>
      <c r="F20" s="51" t="s">
        <v>190</v>
      </c>
      <c r="G20" s="51" t="s">
        <v>191</v>
      </c>
      <c r="H20" s="51" t="s">
        <v>192</v>
      </c>
    </row>
    <row r="21" customFormat="false" ht="15" hidden="false" customHeight="true" outlineLevel="0" collapsed="false">
      <c r="A21" s="33" t="s">
        <v>11</v>
      </c>
      <c r="D21" s="50" t="n">
        <f aca="false">'Historical Financials'!$G$5*(1+Assumptions!C$18)</f>
        <v>216668.48</v>
      </c>
      <c r="E21" s="50" t="n">
        <f aca="false">D21*(1+Assumptions!C$19)</f>
        <v>236168.6432</v>
      </c>
      <c r="F21" s="50" t="n">
        <f aca="false">E21*(1+Assumptions!C$20)</f>
        <v>250338.761792</v>
      </c>
      <c r="G21" s="50" t="n">
        <f aca="false">F21*(1+Assumptions!C$21)</f>
        <v>260352.31226368</v>
      </c>
      <c r="H21" s="50" t="n">
        <f aca="false">G21*(1+Assumptions!C$22)</f>
        <v>268162.88163159</v>
      </c>
    </row>
    <row r="22" customFormat="false" ht="15" hidden="false" customHeight="true" outlineLevel="0" collapsed="false">
      <c r="A22" s="33" t="s">
        <v>194</v>
      </c>
      <c r="D22" s="50" t="n">
        <f aca="false">D21*Assumptions!C$23</f>
        <v>9316.74464</v>
      </c>
      <c r="E22" s="50" t="n">
        <f aca="false">E21*Assumptions!C$24</f>
        <v>9919.0830144</v>
      </c>
      <c r="F22" s="50" t="n">
        <f aca="false">F21*Assumptions!C$25</f>
        <v>10514.227995264</v>
      </c>
      <c r="G22" s="50" t="n">
        <f aca="false">G21*Assumptions!C$26</f>
        <v>11195.1494273382</v>
      </c>
      <c r="H22" s="50" t="n">
        <f aca="false">H21*Assumptions!C$27</f>
        <v>12067.3296734216</v>
      </c>
    </row>
    <row r="23" customFormat="false" ht="15" hidden="false" customHeight="true" outlineLevel="0" collapsed="false">
      <c r="A23" s="33" t="s">
        <v>251</v>
      </c>
      <c r="D23" s="81" t="n">
        <f aca="false">(D22-(D21*Assumptions!$C$5)*(Assumptions!C$28+Assumptions!$C$6))*(1-Assumptions!C$31)+(D21*Assumptions!$C$5)*(Assumptions!$C$6-Assumptions!C$29+Assumptions!C$30)</f>
        <v>4914.171127488</v>
      </c>
      <c r="E23" s="81" t="n">
        <f aca="false">(E22-(E21*Assumptions!$C$5)*(Assumptions!C$28+Assumptions!$C$6))*(1-Assumptions!C$31)+(E21*Assumptions!$C$5)*(Assumptions!$C$6-Assumptions!C$29+Assumptions!C$30)</f>
        <v>5172.23498726592</v>
      </c>
      <c r="F23" s="81" t="n">
        <f aca="false">(F22-(F21*Assumptions!$C$5)*(Assumptions!C$28+Assumptions!$C$6))*(1-Assumptions!C$31)+(F21*Assumptions!$C$5)*(Assumptions!$C$6-Assumptions!C$29+Assumptions!C$30)</f>
        <v>5482.56908650188</v>
      </c>
      <c r="G23" s="81" t="n">
        <f aca="false">(G22-(G21*Assumptions!$C$5)*(Assumptions!C$28+Assumptions!$C$6))*(1-Assumptions!C$31)+(G21*Assumptions!$C$5)*(Assumptions!$C$6-Assumptions!C$29+Assumptions!C$30)</f>
        <v>5904.94665352762</v>
      </c>
      <c r="H23" s="81" t="n">
        <f aca="false">(H22-(H21*Assumptions!$C$5)*(Assumptions!C$28+Assumptions!$C$6))*(1-Assumptions!C$31)+(H21*Assumptions!$C$5)*(Assumptions!$C$6-Assumptions!C$29+Assumptions!C$30)</f>
        <v>6500.42914847873</v>
      </c>
    </row>
    <row r="24" customFormat="false" ht="15" hidden="false" customHeight="true" outlineLevel="0" collapsed="false">
      <c r="A24" s="33" t="s">
        <v>213</v>
      </c>
      <c r="D24" s="64" t="n">
        <f aca="false">1/(1+Assumptions!C$32)^1</f>
        <v>0.900900900900901</v>
      </c>
      <c r="E24" s="64" t="n">
        <f aca="false">1/(1+Assumptions!C$32)^2</f>
        <v>0.811622433244055</v>
      </c>
      <c r="F24" s="64" t="n">
        <f aca="false">1/(1+Assumptions!C$32)^3</f>
        <v>0.73119138130095</v>
      </c>
      <c r="G24" s="64" t="n">
        <f aca="false">1/(1+Assumptions!C$32)^4</f>
        <v>0.658730974145</v>
      </c>
      <c r="H24" s="64" t="n">
        <f aca="false">1/(1+Assumptions!C$32)^5</f>
        <v>0.593451328058559</v>
      </c>
    </row>
    <row r="25" customFormat="false" ht="15" hidden="false" customHeight="true" outlineLevel="0" collapsed="false">
      <c r="A25" s="33" t="s">
        <v>214</v>
      </c>
      <c r="D25" s="50" t="n">
        <f aca="false">D23*D24</f>
        <v>4427.18119593513</v>
      </c>
      <c r="E25" s="50" t="n">
        <f aca="false">E23*E24</f>
        <v>4197.9019456748</v>
      </c>
      <c r="F25" s="50" t="n">
        <f aca="false">F23*F24</f>
        <v>4008.8072634372</v>
      </c>
      <c r="G25" s="50" t="n">
        <f aca="false">G23*G24</f>
        <v>3889.77126135251</v>
      </c>
      <c r="H25" s="50" t="n">
        <f aca="false">H23*H24</f>
        <v>3857.68831111527</v>
      </c>
    </row>
    <row r="27" customFormat="false" ht="15" hidden="false" customHeight="true" outlineLevel="0" collapsed="false">
      <c r="A27" s="39" t="s">
        <v>252</v>
      </c>
      <c r="C27" s="77" t="n">
        <f aca="false">SUM(D25:H25)</f>
        <v>20381.3499775149</v>
      </c>
    </row>
    <row r="28" customFormat="false" ht="15" hidden="false" customHeight="true" outlineLevel="0" collapsed="false">
      <c r="A28" s="39" t="s">
        <v>219</v>
      </c>
      <c r="C28" s="77" t="n">
        <f aca="false">(H23*(1+Assumptions!C$33)/(Assumptions!C$32-Assumptions!C$33))*H24</f>
        <v>43720.467525973</v>
      </c>
    </row>
    <row r="29" customFormat="false" ht="15" hidden="false" customHeight="true" outlineLevel="0" collapsed="false">
      <c r="A29" s="42" t="s">
        <v>253</v>
      </c>
      <c r="C29" s="44" t="n">
        <f aca="false">C27+C28</f>
        <v>64101.817503488</v>
      </c>
    </row>
    <row r="30" customFormat="false" ht="15" hidden="false" customHeight="true" outlineLevel="0" collapsed="false">
      <c r="A30" s="39" t="s">
        <v>254</v>
      </c>
      <c r="C30" s="77" t="n">
        <f aca="false">C29-Assumptions!$C$11+Assumptions!$C$14</f>
        <v>67638.417503488</v>
      </c>
    </row>
    <row r="31" customFormat="false" ht="15" hidden="false" customHeight="true" outlineLevel="0" collapsed="false">
      <c r="A31" s="82" t="s">
        <v>255</v>
      </c>
      <c r="C31" s="78" t="n">
        <f aca="false">C30/Assumptions!$C$7</f>
        <v>33.1560870115137</v>
      </c>
    </row>
    <row r="32" customFormat="false" ht="15" hidden="false" customHeight="true" outlineLevel="0" collapsed="false">
      <c r="A32" s="39" t="s">
        <v>256</v>
      </c>
      <c r="C32" s="59" t="n">
        <f aca="false">C31/Assumptions!$C$8-1</f>
        <v>-0.545807027239538</v>
      </c>
    </row>
    <row r="34" customFormat="false" ht="15" hidden="false" customHeight="true" outlineLevel="0" collapsed="false">
      <c r="A34" s="29" t="s">
        <v>257</v>
      </c>
      <c r="B34" s="29"/>
      <c r="C34" s="29"/>
      <c r="D34" s="52" t="s">
        <v>188</v>
      </c>
      <c r="E34" s="52" t="s">
        <v>189</v>
      </c>
      <c r="F34" s="52" t="s">
        <v>190</v>
      </c>
      <c r="G34" s="52" t="s">
        <v>191</v>
      </c>
      <c r="H34" s="52" t="s">
        <v>192</v>
      </c>
    </row>
    <row r="35" customFormat="false" ht="15" hidden="false" customHeight="true" outlineLevel="0" collapsed="false">
      <c r="A35" s="33" t="s">
        <v>11</v>
      </c>
      <c r="D35" s="50" t="n">
        <f aca="false">'Historical Financials'!$G$5*(1+Assumptions!D$18)</f>
        <v>228275.72</v>
      </c>
      <c r="E35" s="50" t="n">
        <f aca="false">D35*(1+Assumptions!D$19)</f>
        <v>264799.8352</v>
      </c>
      <c r="F35" s="50" t="n">
        <f aca="false">E35*(1+Assumptions!D$20)</f>
        <v>301871.812128</v>
      </c>
      <c r="G35" s="50" t="n">
        <f aca="false">F35*(1+Assumptions!D$21)</f>
        <v>338096.42958336</v>
      </c>
      <c r="H35" s="50" t="n">
        <f aca="false">G35*(1+Assumptions!D$22)</f>
        <v>375287.03683753</v>
      </c>
    </row>
    <row r="36" customFormat="false" ht="15" hidden="false" customHeight="true" outlineLevel="0" collapsed="false">
      <c r="A36" s="33" t="s">
        <v>194</v>
      </c>
      <c r="D36" s="50" t="n">
        <f aca="false">D35*Assumptions!D$23</f>
        <v>10957.23456</v>
      </c>
      <c r="E36" s="50" t="n">
        <f aca="false">E35*Assumptions!D$24</f>
        <v>13769.5914304</v>
      </c>
      <c r="F36" s="50" t="n">
        <f aca="false">F35*Assumptions!D$25</f>
        <v>16904.821479168</v>
      </c>
      <c r="G36" s="50" t="n">
        <f aca="false">G35*Assumptions!D$26</f>
        <v>20285.7857750016</v>
      </c>
      <c r="H36" s="50" t="n">
        <f aca="false">H35*Assumptions!D$27</f>
        <v>23643.0833207644</v>
      </c>
    </row>
    <row r="37" customFormat="false" ht="15" hidden="false" customHeight="true" outlineLevel="0" collapsed="false">
      <c r="A37" s="33" t="s">
        <v>251</v>
      </c>
      <c r="D37" s="81" t="n">
        <f aca="false">(D36-(D35*Assumptions!$C$5)*(Assumptions!D$28+Assumptions!$C$6))*(1-Assumptions!D$31)+(D35*Assumptions!$C$5)*(Assumptions!$C$6-Assumptions!D$29+Assumptions!D$30)</f>
        <v>7204.72413678</v>
      </c>
      <c r="E37" s="81" t="n">
        <f aca="false">(E36-(E35*Assumptions!$C$5)*(Assumptions!D$28+Assumptions!$C$6))*(1-Assumptions!D$31)+(E35*Assumptions!$C$5)*(Assumptions!$C$6-Assumptions!D$29+Assumptions!D$30)</f>
        <v>9194.2474778968</v>
      </c>
      <c r="F37" s="81" t="n">
        <f aca="false">(F36-(F35*Assumptions!$C$5)*(Assumptions!D$28+Assumptions!$C$6))*(1-Assumptions!D$31)+(F35*Assumptions!$C$5)*(Assumptions!$C$6-Assumptions!D$29+Assumptions!D$30)</f>
        <v>11435.3570511268</v>
      </c>
      <c r="G37" s="81" t="n">
        <f aca="false">(G36-(G35*Assumptions!$C$5)*(Assumptions!D$28+Assumptions!$C$6))*(1-Assumptions!D$31)+(G35*Assumptions!$C$5)*(Assumptions!$C$6-Assumptions!D$29+Assumptions!D$30)</f>
        <v>13875.9846147455</v>
      </c>
      <c r="H37" s="81" t="n">
        <f aca="false">(H36-(H35*Assumptions!$C$5)*(Assumptions!D$28+Assumptions!$C$6))*(1-Assumptions!D$31)+(H35*Assumptions!$C$5)*(Assumptions!$C$6-Assumptions!D$29+Assumptions!D$30)</f>
        <v>16291.7731996724</v>
      </c>
    </row>
    <row r="38" customFormat="false" ht="15" hidden="false" customHeight="true" outlineLevel="0" collapsed="false">
      <c r="A38" s="33" t="s">
        <v>213</v>
      </c>
      <c r="D38" s="64" t="n">
        <f aca="false">1/(1+Assumptions!D$32)^1</f>
        <v>0.91324200913242</v>
      </c>
      <c r="E38" s="64" t="n">
        <f aca="false">1/(1+Assumptions!D$32)^2</f>
        <v>0.834010967244219</v>
      </c>
      <c r="F38" s="64" t="n">
        <f aca="false">1/(1+Assumptions!D$32)^3</f>
        <v>0.761653851364584</v>
      </c>
      <c r="G38" s="64" t="n">
        <f aca="false">1/(1+Assumptions!D$32)^4</f>
        <v>0.695574293483638</v>
      </c>
      <c r="H38" s="64" t="n">
        <f aca="false">1/(1+Assumptions!D$32)^5</f>
        <v>0.635227665281862</v>
      </c>
    </row>
    <row r="39" customFormat="false" ht="15" hidden="false" customHeight="true" outlineLevel="0" collapsed="false">
      <c r="A39" s="33" t="s">
        <v>214</v>
      </c>
      <c r="D39" s="50" t="n">
        <f aca="false">D37*D38</f>
        <v>6579.65674591781</v>
      </c>
      <c r="E39" s="50" t="n">
        <f aca="false">E37*E38</f>
        <v>7668.10323212343</v>
      </c>
      <c r="F39" s="50" t="n">
        <f aca="false">F37*F38</f>
        <v>8709.7837397199</v>
      </c>
      <c r="G39" s="50" t="n">
        <f aca="false">G37*G38</f>
        <v>9651.77819479142</v>
      </c>
      <c r="H39" s="50" t="n">
        <f aca="false">H37*H38</f>
        <v>10348.9850529295</v>
      </c>
    </row>
    <row r="41" customFormat="false" ht="15" hidden="false" customHeight="true" outlineLevel="0" collapsed="false">
      <c r="A41" s="39" t="s">
        <v>252</v>
      </c>
      <c r="C41" s="77" t="n">
        <f aca="false">SUM(D39:H39)</f>
        <v>42958.3069654821</v>
      </c>
    </row>
    <row r="42" customFormat="false" ht="15" hidden="false" customHeight="true" outlineLevel="0" collapsed="false">
      <c r="A42" s="39" t="s">
        <v>219</v>
      </c>
      <c r="C42" s="77" t="n">
        <f aca="false">(H37*(1+Assumptions!D$33)/(Assumptions!D$32-Assumptions!D$33))*H38</f>
        <v>163991.609300268</v>
      </c>
    </row>
    <row r="43" customFormat="false" ht="15" hidden="false" customHeight="true" outlineLevel="0" collapsed="false">
      <c r="A43" s="42" t="s">
        <v>253</v>
      </c>
      <c r="C43" s="44" t="n">
        <f aca="false">C41+C42</f>
        <v>206949.91626575</v>
      </c>
    </row>
    <row r="44" customFormat="false" ht="15" hidden="false" customHeight="true" outlineLevel="0" collapsed="false">
      <c r="A44" s="39" t="s">
        <v>254</v>
      </c>
      <c r="C44" s="77" t="n">
        <f aca="false">C43-Assumptions!$C$11+Assumptions!$C$14</f>
        <v>210486.51626575</v>
      </c>
    </row>
    <row r="45" customFormat="false" ht="15" hidden="false" customHeight="true" outlineLevel="0" collapsed="false">
      <c r="A45" s="82" t="s">
        <v>255</v>
      </c>
      <c r="C45" s="78" t="n">
        <f aca="false">C44/Assumptions!$C$7</f>
        <v>103.179664836152</v>
      </c>
    </row>
    <row r="46" customFormat="false" ht="15" hidden="false" customHeight="true" outlineLevel="0" collapsed="false">
      <c r="A46" s="39" t="s">
        <v>256</v>
      </c>
      <c r="C46" s="59" t="n">
        <f aca="false">C45/Assumptions!$C$8-1</f>
        <v>0.413420066248655</v>
      </c>
    </row>
    <row r="48" customFormat="false" ht="15" hidden="false" customHeight="true" outlineLevel="0" collapsed="false">
      <c r="A48" s="29" t="s">
        <v>258</v>
      </c>
      <c r="B48" s="29"/>
      <c r="C48" s="29"/>
      <c r="D48" s="53" t="s">
        <v>188</v>
      </c>
      <c r="E48" s="53" t="s">
        <v>189</v>
      </c>
      <c r="F48" s="53" t="s">
        <v>190</v>
      </c>
      <c r="G48" s="53" t="s">
        <v>191</v>
      </c>
      <c r="H48" s="53" t="s">
        <v>192</v>
      </c>
    </row>
    <row r="49" customFormat="false" ht="15" hidden="false" customHeight="true" outlineLevel="0" collapsed="false">
      <c r="A49" s="33" t="s">
        <v>11</v>
      </c>
      <c r="D49" s="50" t="n">
        <f aca="false">'Historical Financials'!$G$5*(1+Assumptions!E$18)</f>
        <v>236013.88</v>
      </c>
      <c r="E49" s="50" t="n">
        <f aca="false">D49*(1+Assumptions!E$19)</f>
        <v>283216.656</v>
      </c>
      <c r="F49" s="50" t="n">
        <f aca="false">E49*(1+Assumptions!E$20)</f>
        <v>331363.48752</v>
      </c>
      <c r="G49" s="50" t="n">
        <f aca="false">F49*(1+Assumptions!E$21)</f>
        <v>381068.010648</v>
      </c>
      <c r="H49" s="50" t="n">
        <f aca="false">G49*(1+Assumptions!E$22)</f>
        <v>430606.85203224</v>
      </c>
    </row>
    <row r="50" customFormat="false" ht="15" hidden="false" customHeight="true" outlineLevel="0" collapsed="false">
      <c r="A50" s="33" t="s">
        <v>194</v>
      </c>
      <c r="D50" s="50" t="n">
        <f aca="false">D49*Assumptions!E$23</f>
        <v>11800.694</v>
      </c>
      <c r="E50" s="50" t="n">
        <f aca="false">E49*Assumptions!E$24</f>
        <v>15860.132736</v>
      </c>
      <c r="F50" s="50" t="n">
        <f aca="false">F49*Assumptions!E$25</f>
        <v>20544.53622624</v>
      </c>
      <c r="G50" s="50" t="n">
        <f aca="false">G49*Assumptions!E$26</f>
        <v>25912.624724064</v>
      </c>
      <c r="H50" s="50" t="n">
        <f aca="false">H49*Assumptions!E$27</f>
        <v>31003.6933463213</v>
      </c>
    </row>
    <row r="51" customFormat="false" ht="15" hidden="false" customHeight="true" outlineLevel="0" collapsed="false">
      <c r="A51" s="33" t="s">
        <v>251</v>
      </c>
      <c r="D51" s="81" t="n">
        <f aca="false">(D50-(D49*Assumptions!$C$5)*(Assumptions!E$28+Assumptions!$C$6))*(1-Assumptions!E$31)+(D49*Assumptions!$C$5)*(Assumptions!$C$6-Assumptions!E$29+Assumptions!E$30)</f>
        <v>8140.59074896</v>
      </c>
      <c r="E51" s="81" t="n">
        <f aca="false">(E50-(E49*Assumptions!$C$5)*(Assumptions!E$28+Assumptions!$C$6))*(1-Assumptions!E$31)+(E49*Assumptions!$C$5)*(Assumptions!$C$6-Assumptions!E$29+Assumptions!E$30)</f>
        <v>11128.148847552</v>
      </c>
      <c r="F51" s="81" t="n">
        <f aca="false">(F50-(F49*Assumptions!$C$5)*(Assumptions!E$28+Assumptions!$C$6))*(1-Assumptions!E$31)+(F49*Assumptions!$C$5)*(Assumptions!$C$6-Assumptions!E$29+Assumptions!E$30)</f>
        <v>14610.4788917318</v>
      </c>
      <c r="G51" s="81" t="n">
        <f aca="false">(G50-(G49*Assumptions!$C$5)*(Assumptions!E$28+Assumptions!$C$6))*(1-Assumptions!E$31)+(G49*Assumptions!$C$5)*(Assumptions!$C$6-Assumptions!E$29+Assumptions!E$30)</f>
        <v>18631.177176602</v>
      </c>
      <c r="H51" s="81" t="n">
        <f aca="false">(H50-(H49*Assumptions!$C$5)*(Assumptions!E$28+Assumptions!$C$6))*(1-Assumptions!E$31)+(H49*Assumptions!$C$5)*(Assumptions!$C$6-Assumptions!E$29+Assumptions!E$30)</f>
        <v>22431.1721360634</v>
      </c>
    </row>
    <row r="52" customFormat="false" ht="15" hidden="false" customHeight="true" outlineLevel="0" collapsed="false">
      <c r="A52" s="33" t="s">
        <v>213</v>
      </c>
      <c r="D52" s="64" t="n">
        <f aca="false">1/(1+Assumptions!E$32)^1</f>
        <v>0.91743119266055</v>
      </c>
      <c r="E52" s="64" t="n">
        <f aca="false">1/(1+Assumptions!E$32)^2</f>
        <v>0.84167999326656</v>
      </c>
      <c r="F52" s="64" t="n">
        <f aca="false">1/(1+Assumptions!E$32)^3</f>
        <v>0.772183480061064</v>
      </c>
      <c r="G52" s="64" t="n">
        <f aca="false">1/(1+Assumptions!E$32)^4</f>
        <v>0.708425211065196</v>
      </c>
      <c r="H52" s="64" t="n">
        <f aca="false">1/(1+Assumptions!E$32)^5</f>
        <v>0.649931386298345</v>
      </c>
    </row>
    <row r="53" customFormat="false" ht="15" hidden="false" customHeight="true" outlineLevel="0" collapsed="false">
      <c r="A53" s="33" t="s">
        <v>214</v>
      </c>
      <c r="D53" s="50" t="n">
        <f aca="false">D51*D52</f>
        <v>7468.43187977982</v>
      </c>
      <c r="E53" s="50" t="n">
        <f aca="false">E51*E52</f>
        <v>9366.34024707685</v>
      </c>
      <c r="F53" s="50" t="n">
        <f aca="false">F51*F52</f>
        <v>11281.9704359762</v>
      </c>
      <c r="G53" s="50" t="n">
        <f aca="false">G51*G52</f>
        <v>13198.7956237274</v>
      </c>
      <c r="H53" s="50" t="n">
        <f aca="false">H51*H52</f>
        <v>14578.7228026885</v>
      </c>
    </row>
    <row r="55" customFormat="false" ht="15" hidden="false" customHeight="true" outlineLevel="0" collapsed="false">
      <c r="A55" s="39" t="s">
        <v>252</v>
      </c>
      <c r="C55" s="77" t="n">
        <f aca="false">SUM(D53:H53)</f>
        <v>55894.2609892488</v>
      </c>
    </row>
    <row r="56" customFormat="false" ht="15" hidden="false" customHeight="true" outlineLevel="0" collapsed="false">
      <c r="A56" s="39" t="s">
        <v>219</v>
      </c>
      <c r="C56" s="77" t="n">
        <f aca="false">(H51*(1+Assumptions!E$33)/(Assumptions!E$32-Assumptions!E$33))*H52</f>
        <v>274345.056377866</v>
      </c>
    </row>
    <row r="57" customFormat="false" ht="15" hidden="false" customHeight="true" outlineLevel="0" collapsed="false">
      <c r="A57" s="42" t="s">
        <v>253</v>
      </c>
      <c r="C57" s="44" t="n">
        <f aca="false">C55+C56</f>
        <v>330239.317367115</v>
      </c>
    </row>
    <row r="58" customFormat="false" ht="15" hidden="false" customHeight="true" outlineLevel="0" collapsed="false">
      <c r="A58" s="39" t="s">
        <v>254</v>
      </c>
      <c r="C58" s="77" t="n">
        <f aca="false">C57-Assumptions!$C$11+Assumptions!$C$14</f>
        <v>333775.917367115</v>
      </c>
    </row>
    <row r="59" customFormat="false" ht="15" hidden="false" customHeight="true" outlineLevel="0" collapsed="false">
      <c r="A59" s="82" t="s">
        <v>255</v>
      </c>
      <c r="C59" s="78" t="n">
        <f aca="false">C58/Assumptions!$C$7</f>
        <v>163.615645768193</v>
      </c>
    </row>
    <row r="60" customFormat="false" ht="15" hidden="false" customHeight="true" outlineLevel="0" collapsed="false">
      <c r="A60" s="39" t="s">
        <v>256</v>
      </c>
      <c r="C60" s="59" t="n">
        <f aca="false">C59/Assumptions!$C$8-1</f>
        <v>1.24131021600265</v>
      </c>
    </row>
  </sheetData>
  <mergeCells count="8">
    <mergeCell ref="A1:I1"/>
    <mergeCell ref="A2:I2"/>
    <mergeCell ref="A4:E4"/>
    <mergeCell ref="A14:B14"/>
    <mergeCell ref="A16:I18"/>
    <mergeCell ref="A20:C20"/>
    <mergeCell ref="A34:C34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2" t="s">
        <v>259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260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29" t="s">
        <v>261</v>
      </c>
      <c r="B4" s="29"/>
      <c r="C4" s="29"/>
      <c r="D4" s="29"/>
      <c r="E4" s="29"/>
      <c r="F4" s="29"/>
      <c r="G4" s="29"/>
      <c r="H4" s="29"/>
      <c r="I4" s="29"/>
    </row>
    <row r="5" customFormat="false" ht="15" hidden="false" customHeight="true" outlineLevel="0" collapsed="false">
      <c r="A5" s="83" t="s">
        <v>262</v>
      </c>
      <c r="B5" s="84" t="n">
        <v>0.02</v>
      </c>
      <c r="C5" s="84" t="n">
        <v>0.025</v>
      </c>
      <c r="D5" s="84" t="n">
        <v>0.03</v>
      </c>
      <c r="E5" s="84" t="n">
        <v>0.035</v>
      </c>
      <c r="F5" s="84" t="n">
        <v>0.04</v>
      </c>
    </row>
    <row r="6" customFormat="false" ht="15" hidden="false" customHeight="true" outlineLevel="0" collapsed="false">
      <c r="A6" s="85" t="n">
        <v>0.085</v>
      </c>
      <c r="B6" s="86" t="n">
        <f aca="false">IF($A$6&lt;=B$5,"n/m",((Forecast!D18/(1+$A$6)^1+Forecast!E18/(1+$A$6)^2+Forecast!F18/(1+$A$6)^3+Forecast!G18/(1+$A$6)^4+Forecast!H18/(1+$A$6)^5)+((Forecast!$H$18*(1+B$5)/($A$6-B$5))/(1+$A$6)^5)-Assumptions!$C$11+Assumptions!$C$14)/Assumptions!$C$7)</f>
        <v>106.769455640046</v>
      </c>
      <c r="C6" s="86" t="n">
        <f aca="false">IF($A$6&lt;=C$5,"n/m",((Forecast!D18/(1+$A$6)^1+Forecast!E18/(1+$A$6)^2+Forecast!F18/(1+$A$6)^3+Forecast!G18/(1+$A$6)^4+Forecast!H18/(1+$A$6)^5)+((Forecast!$H$18*(1+C$5)/($A$6-C$5))/(1+$A$6)^5)-Assumptions!$C$11+Assumptions!$C$14)/Assumptions!$C$7)</f>
        <v>114.157417295406</v>
      </c>
      <c r="D6" s="86" t="n">
        <f aca="false">IF($A$6&lt;=D$5,"n/m",((Forecast!D18/(1+$A$6)^1+Forecast!E18/(1+$A$6)^2+Forecast!F18/(1+$A$6)^3+Forecast!G18/(1+$A$6)^4+Forecast!H18/(1+$A$6)^5)+((Forecast!$H$18*(1+D$5)/($A$6-D$5))/(1+$A$6)^5)-Assumptions!$C$11+Assumptions!$C$14)/Assumptions!$C$7)</f>
        <v>122.888644706287</v>
      </c>
      <c r="E6" s="86" t="n">
        <f aca="false">IF($A$6&lt;=E$5,"n/m",((Forecast!D18/(1+$A$6)^1+Forecast!E18/(1+$A$6)^2+Forecast!F18/(1+$A$6)^3+Forecast!G18/(1+$A$6)^4+Forecast!H18/(1+$A$6)^5)+((Forecast!$H$18*(1+E$5)/($A$6-E$5))/(1+$A$6)^5)-Assumptions!$C$11+Assumptions!$C$14)/Assumptions!$C$7)</f>
        <v>133.366117599343</v>
      </c>
      <c r="F6" s="86" t="n">
        <f aca="false">IF($A$6&lt;=F$5,"n/m",((Forecast!D18/(1+$A$6)^1+Forecast!E18/(1+$A$6)^2+Forecast!F18/(1+$A$6)^3+Forecast!G18/(1+$A$6)^4+Forecast!H18/(1+$A$6)^5)+((Forecast!$H$18*(1+F$5)/($A$6-F$5))/(1+$A$6)^5)-Assumptions!$C$11+Assumptions!$C$14)/Assumptions!$C$7)</f>
        <v>146.171917801968</v>
      </c>
    </row>
    <row r="7" customFormat="false" ht="15" hidden="false" customHeight="true" outlineLevel="0" collapsed="false">
      <c r="A7" s="85" t="n">
        <v>0.09</v>
      </c>
      <c r="B7" s="86" t="n">
        <f aca="false">IF($A$7&lt;=B$5,"n/m",((Forecast!D18/(1+$A$7)^1+Forecast!E18/(1+$A$7)^2+Forecast!F18/(1+$A$7)^3+Forecast!G18/(1+$A$7)^4+Forecast!H18/(1+$A$7)^5)+((Forecast!$H$18*(1+B$5)/($A$7-B$5))/(1+$A$7)^5)-Assumptions!$C$11+Assumptions!$C$14)/Assumptions!$C$7)</f>
        <v>98.7372335000727</v>
      </c>
      <c r="C7" s="86" t="n">
        <f aca="false">IF($A$7&lt;=C$5,"n/m",((Forecast!D18/(1+$A$7)^1+Forecast!E18/(1+$A$7)^2+Forecast!F18/(1+$A$7)^3+Forecast!G18/(1+$A$7)^4+Forecast!H18/(1+$A$7)^5)+((Forecast!$H$18*(1+C$5)/($A$7-C$5))/(1+$A$7)^5)-Assumptions!$C$11+Assumptions!$C$14)/Assumptions!$C$7)</f>
        <v>104.95437574722</v>
      </c>
      <c r="D7" s="86" t="n">
        <f aca="false">IF($A$7&lt;=D$5,"n/m",((Forecast!D18/(1+$A$7)^1+Forecast!E18/(1+$A$7)^2+Forecast!F18/(1+$A$7)^3+Forecast!G18/(1+$A$7)^4+Forecast!H18/(1+$A$7)^5)+((Forecast!$H$18*(1+D$5)/($A$7-D$5))/(1+$A$7)^5)-Assumptions!$C$11+Assumptions!$C$14)/Assumptions!$C$7)</f>
        <v>112.207708368892</v>
      </c>
      <c r="E7" s="86" t="n">
        <f aca="false">IF($A$7&lt;=E$5,"n/m",((Forecast!D18/(1+$A$7)^1+Forecast!E18/(1+$A$7)^2+Forecast!F18/(1+$A$7)^3+Forecast!G18/(1+$A$7)^4+Forecast!H18/(1+$A$7)^5)+((Forecast!$H$18*(1+E$5)/($A$7-E$5))/(1+$A$7)^5)-Assumptions!$C$11+Assumptions!$C$14)/Assumptions!$C$7)</f>
        <v>120.779828739959</v>
      </c>
      <c r="F7" s="86" t="n">
        <f aca="false">IF($A$7&lt;=F$5,"n/m",((Forecast!D18/(1+$A$7)^1+Forecast!E18/(1+$A$7)^2+Forecast!F18/(1+$A$7)^3+Forecast!G18/(1+$A$7)^4+Forecast!H18/(1+$A$7)^5)+((Forecast!$H$18*(1+F$5)/($A$7-F$5))/(1+$A$7)^5)-Assumptions!$C$11+Assumptions!$C$14)/Assumptions!$C$7)</f>
        <v>131.066373185239</v>
      </c>
    </row>
    <row r="8" customFormat="false" ht="15" hidden="false" customHeight="true" outlineLevel="0" collapsed="false">
      <c r="A8" s="85" t="n">
        <v>0.095</v>
      </c>
      <c r="B8" s="86" t="n">
        <f aca="false">IF($A$8&lt;=B$5,"n/m",((Forecast!D18/(1+$A$8)^1+Forecast!E18/(1+$A$8)^2+Forecast!F18/(1+$A$8)^3+Forecast!G18/(1+$A$8)^4+Forecast!H18/(1+$A$8)^5)+((Forecast!$H$18*(1+B$5)/($A$8-B$5))/(1+$A$8)^5)-Assumptions!$C$11+Assumptions!$C$14)/Assumptions!$C$7)</f>
        <v>91.7848547477076</v>
      </c>
      <c r="C8" s="86" t="n">
        <f aca="false">IF($A$8&lt;=C$5,"n/m",((Forecast!D18/(1+$A$8)^1+Forecast!E18/(1+$A$8)^2+Forecast!F18/(1+$A$8)^3+Forecast!G18/(1+$A$8)^4+Forecast!H18/(1+$A$8)^5)+((Forecast!$H$18*(1+C$5)/($A$8-C$5))/(1+$A$8)^5)-Assumptions!$C$11+Assumptions!$C$14)/Assumptions!$C$7)</f>
        <v>97.075302288771</v>
      </c>
      <c r="D8" s="87" t="n">
        <f aca="false">IF($A$8&lt;=D$5,"n/m",((Forecast!D18/(1+$A$8)^1+Forecast!E18/(1+$A$8)^2+Forecast!F18/(1+$A$8)^3+Forecast!G18/(1+$A$8)^4+Forecast!H18/(1+$A$8)^5)+((Forecast!$H$18*(1+D$5)/($A$8-D$5))/(1+$A$8)^5)-Assumptions!$C$11+Assumptions!$C$14)/Assumptions!$C$7)</f>
        <v>103.179664836152</v>
      </c>
      <c r="E8" s="86" t="n">
        <f aca="false">IF($A$8&lt;=E$5,"n/m",((Forecast!D18/(1+$A$8)^1+Forecast!E18/(1+$A$8)^2+Forecast!F18/(1+$A$8)^3+Forecast!G18/(1+$A$8)^4+Forecast!H18/(1+$A$8)^5)+((Forecast!$H$18*(1+E$5)/($A$8-E$5))/(1+$A$8)^5)-Assumptions!$C$11+Assumptions!$C$14)/Assumptions!$C$7)</f>
        <v>110.30142114143</v>
      </c>
      <c r="F8" s="86" t="n">
        <f aca="false">IF($A$8&lt;=F$5,"n/m",((Forecast!D18/(1+$A$8)^1+Forecast!E18/(1+$A$8)^2+Forecast!F18/(1+$A$8)^3+Forecast!G18/(1+$A$8)^4+Forecast!H18/(1+$A$8)^5)+((Forecast!$H$18*(1+F$5)/($A$8-F$5))/(1+$A$8)^5)-Assumptions!$C$11+Assumptions!$C$14)/Assumptions!$C$7)</f>
        <v>118.718042229485</v>
      </c>
    </row>
    <row r="9" customFormat="false" ht="15" hidden="false" customHeight="true" outlineLevel="0" collapsed="false">
      <c r="A9" s="85" t="n">
        <v>0.1</v>
      </c>
      <c r="B9" s="86" t="n">
        <f aca="false">IF($A$9&lt;=B$5,"n/m",((Forecast!D18/(1+$A$9)^1+Forecast!E18/(1+$A$9)^2+Forecast!F18/(1+$A$9)^3+Forecast!G18/(1+$A$9)^4+Forecast!H18/(1+$A$9)^5)+((Forecast!$H$18*(1+B$5)/($A$9-B$5))/(1+$A$9)^5)-Assumptions!$C$11+Assumptions!$C$14)/Assumptions!$C$7)</f>
        <v>85.7096528889459</v>
      </c>
      <c r="C9" s="86" t="n">
        <f aca="false">IF($A$9&lt;=C$5,"n/m",((Forecast!D18/(1+$A$9)^1+Forecast!E18/(1+$A$9)^2+Forecast!F18/(1+$A$9)^3+Forecast!G18/(1+$A$9)^4+Forecast!H18/(1+$A$9)^5)+((Forecast!$H$18*(1+C$5)/($A$9-C$5))/(1+$A$9)^5)-Assumptions!$C$11+Assumptions!$C$14)/Assumptions!$C$7)</f>
        <v>90.2552004000293</v>
      </c>
      <c r="D9" s="86" t="n">
        <f aca="false">IF($A$9&lt;=D$5,"n/m",((Forecast!D18/(1+$A$9)^1+Forecast!E18/(1+$A$9)^2+Forecast!F18/(1+$A$9)^3+Forecast!G18/(1+$A$9)^4+Forecast!H18/(1+$A$9)^5)+((Forecast!$H$18*(1+D$5)/($A$9-D$5))/(1+$A$9)^5)-Assumptions!$C$11+Assumptions!$C$14)/Assumptions!$C$7)</f>
        <v>95.4501118412675</v>
      </c>
      <c r="E9" s="86" t="n">
        <f aca="false">IF($A$9&lt;=E$5,"n/m",((Forecast!D18/(1+$A$9)^1+Forecast!E18/(1+$A$9)^2+Forecast!F18/(1+$A$9)^3+Forecast!G18/(1+$A$9)^4+Forecast!H18/(1+$A$9)^5)+((Forecast!$H$18*(1+E$5)/($A$9-E$5))/(1+$A$9)^5)-Assumptions!$C$11+Assumptions!$C$14)/Assumptions!$C$7)</f>
        <v>101.444240427312</v>
      </c>
      <c r="F9" s="86" t="n">
        <f aca="false">IF($A$9&lt;=F$5,"n/m",((Forecast!D18/(1+$A$9)^1+Forecast!E18/(1+$A$9)^2+Forecast!F18/(1+$A$9)^3+Forecast!G18/(1+$A$9)^4+Forecast!H18/(1+$A$9)^5)+((Forecast!$H$18*(1+F$5)/($A$9-F$5))/(1+$A$9)^5)-Assumptions!$C$11+Assumptions!$C$14)/Assumptions!$C$7)</f>
        <v>108.437390444363</v>
      </c>
    </row>
    <row r="10" customFormat="false" ht="15" hidden="false" customHeight="true" outlineLevel="0" collapsed="false">
      <c r="A10" s="85" t="n">
        <v>0.105</v>
      </c>
      <c r="B10" s="86" t="n">
        <f aca="false">IF($A$10&lt;=B$5,"n/m",((Forecast!D18/(1+$A$10)^1+Forecast!E18/(1+$A$10)^2+Forecast!F18/(1+$A$10)^3+Forecast!G18/(1+$A$10)^4+Forecast!H18/(1+$A$10)^5)+((Forecast!$H$18*(1+B$5)/($A$10-B$5))/(1+$A$10)^5)-Assumptions!$C$11+Assumptions!$C$14)/Assumptions!$C$7)</f>
        <v>80.3566529352639</v>
      </c>
      <c r="C10" s="86" t="n">
        <f aca="false">IF($A$10&lt;=C$5,"n/m",((Forecast!D18/(1+$A$10)^1+Forecast!E18/(1+$A$10)^2+Forecast!F18/(1+$A$10)^3+Forecast!G18/(1+$A$10)^4+Forecast!H18/(1+$A$10)^5)+((Forecast!$H$18*(1+C$5)/($A$10-C$5))/(1+$A$10)^5)-Assumptions!$C$11+Assumptions!$C$14)/Assumptions!$C$7)</f>
        <v>84.2953281279024</v>
      </c>
      <c r="D10" s="86" t="n">
        <f aca="false">IF($A$10&lt;=D$5,"n/m",((Forecast!D18/(1+$A$10)^1+Forecast!E18/(1+$A$10)^2+Forecast!F18/(1+$A$10)^3+Forecast!G18/(1+$A$10)^4+Forecast!H18/(1+$A$10)^5)+((Forecast!$H$18*(1+D$5)/($A$10-D$5))/(1+$A$10)^5)-Assumptions!$C$11+Assumptions!$C$14)/Assumptions!$C$7)</f>
        <v>88.7591600128927</v>
      </c>
      <c r="E10" s="86" t="n">
        <f aca="false">IF($A$10&lt;=E$5,"n/m",((Forecast!D18/(1+$A$10)^1+Forecast!E18/(1+$A$10)^2+Forecast!F18/(1+$A$10)^3+Forecast!G18/(1+$A$10)^4+Forecast!H18/(1+$A$10)^5)+((Forecast!$H$18*(1+E$5)/($A$10-E$5))/(1+$A$10)^5)-Assumptions!$C$11+Assumptions!$C$14)/Assumptions!$C$7)</f>
        <v>93.8606821671673</v>
      </c>
      <c r="F10" s="86" t="n">
        <f aca="false">IF($A$10&lt;=F$5,"n/m",((Forecast!D18/(1+$A$10)^1+Forecast!E18/(1+$A$10)^2+Forecast!F18/(1+$A$10)^3+Forecast!G18/(1+$A$10)^4+Forecast!H18/(1+$A$10)^5)+((Forecast!$H$18*(1+F$5)/($A$10-F$5))/(1+$A$10)^5)-Assumptions!$C$11+Assumptions!$C$14)/Assumptions!$C$7)</f>
        <v>99.7470538836381</v>
      </c>
    </row>
    <row r="11" customFormat="false" ht="15" hidden="false" customHeight="true" outlineLevel="0" collapsed="false">
      <c r="A11" s="19" t="s">
        <v>263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</row>
    <row r="14" customFormat="false" ht="15" hidden="false" customHeight="true" outlineLevel="0" collapsed="false">
      <c r="A14" s="29" t="s">
        <v>264</v>
      </c>
      <c r="B14" s="29"/>
      <c r="C14" s="29"/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A15" s="3" t="s">
        <v>265</v>
      </c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true" outlineLevel="0" collapsed="false">
      <c r="A16" s="83" t="s">
        <v>266</v>
      </c>
      <c r="B16" s="84" t="n">
        <v>0.08</v>
      </c>
      <c r="C16" s="84" t="n">
        <v>0.11</v>
      </c>
      <c r="D16" s="84" t="n">
        <v>0.14</v>
      </c>
      <c r="E16" s="84" t="n">
        <v>0.17</v>
      </c>
      <c r="F16" s="84" t="n">
        <v>0.2</v>
      </c>
    </row>
    <row r="17" customFormat="false" ht="15" hidden="false" customHeight="true" outlineLevel="0" collapsed="false">
      <c r="A17" s="85" t="n">
        <v>0.045</v>
      </c>
      <c r="B17" s="86" t="n">
        <f aca="false">(('Historical Financials'!$G$5*(($A$17-Assumptions!$C$5*(Assumptions!$D$28+Assumptions!$C$6))*(1-Assumptions!$D$31)+Assumptions!$C$5*(Assumptions!$C$6-Assumptions!$D$29+Assumptions!$D$30))*(((1+B$16)/(1+Assumptions!$D$32))+((1+B$16)/(1+Assumptions!$D$32))^2+((1+B$16)/(1+Assumptions!$D$32))^3+((1+B$16)/(1+Assumptions!$D$32))^4+((1+B$16)/(1+Assumptions!$D$32))^5))+(('Historical Financials'!$G$5*(1+B$16)^5*(($A$17-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55.9589564455155</v>
      </c>
      <c r="C17" s="86" t="n">
        <f aca="false">(('Historical Financials'!$G$5*(($A$17-Assumptions!$C$5*(Assumptions!$D$28+Assumptions!$C$6))*(1-Assumptions!$D$31)+Assumptions!$C$5*(Assumptions!$C$6-Assumptions!$D$29+Assumptions!$D$30))*(((1+C$16)/(1+Assumptions!$D$32))+((1+C$16)/(1+Assumptions!$D$32))^2+((1+C$16)/(1+Assumptions!$D$32))^3+((1+C$16)/(1+Assumptions!$D$32))^4+((1+C$16)/(1+Assumptions!$D$32))^5))+(('Historical Financials'!$G$5*(1+C$16)^5*(($A$17-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63.1080968589317</v>
      </c>
      <c r="D17" s="86" t="n">
        <f aca="false">(('Historical Financials'!$G$5*(($A$17-Assumptions!$C$5*(Assumptions!$D$28+Assumptions!$C$6))*(1-Assumptions!$D$31)+Assumptions!$C$5*(Assumptions!$C$6-Assumptions!$D$29+Assumptions!$D$30))*(((1+D$16)/(1+Assumptions!$D$32))+((1+D$16)/(1+Assumptions!$D$32))^2+((1+D$16)/(1+Assumptions!$D$32))^3+((1+D$16)/(1+Assumptions!$D$32))^4+((1+D$16)/(1+Assumptions!$D$32))^5))+(('Historical Financials'!$G$5*(1+D$16)^5*(($A$17-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71.0291712560661</v>
      </c>
      <c r="E17" s="86" t="n">
        <f aca="false">(('Historical Financials'!$G$5*(($A$17-Assumptions!$C$5*(Assumptions!$D$28+Assumptions!$C$6))*(1-Assumptions!$D$31)+Assumptions!$C$5*(Assumptions!$C$6-Assumptions!$D$29+Assumptions!$D$30))*(((1+E$16)/(1+Assumptions!$D$32))+((1+E$16)/(1+Assumptions!$D$32))^2+((1+E$16)/(1+Assumptions!$D$32))^3+((1+E$16)/(1+Assumptions!$D$32))^4+((1+E$16)/(1+Assumptions!$D$32))^5))+(('Historical Financials'!$G$5*(1+E$16)^5*(($A$17-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79.7846728229976</v>
      </c>
      <c r="F17" s="86" t="n">
        <f aca="false">(('Historical Financials'!$G$5*(($A$17-Assumptions!$C$5*(Assumptions!$D$28+Assumptions!$C$6))*(1-Assumptions!$D$31)+Assumptions!$C$5*(Assumptions!$C$6-Assumptions!$D$29+Assumptions!$D$30))*(((1+F$16)/(1+Assumptions!$D$32))+((1+F$16)/(1+Assumptions!$D$32))^2+((1+F$16)/(1+Assumptions!$D$32))^3+((1+F$16)/(1+Assumptions!$D$32))^4+((1+F$16)/(1+Assumptions!$D$32))^5))+(('Historical Financials'!$G$5*(1+F$16)^5*(($A$17-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89.4404146816938</v>
      </c>
    </row>
    <row r="18" customFormat="false" ht="15" hidden="false" customHeight="true" outlineLevel="0" collapsed="false">
      <c r="A18" s="85" t="n">
        <v>0.05</v>
      </c>
      <c r="B18" s="86" t="n">
        <f aca="false">(('Historical Financials'!$G$5*(($A$18-Assumptions!$C$5*(Assumptions!$D$28+Assumptions!$C$6))*(1-Assumptions!$D$31)+Assumptions!$C$5*(Assumptions!$C$6-Assumptions!$D$29+Assumptions!$D$30))*(((1+B$16)/(1+Assumptions!$D$32))+((1+B$16)/(1+Assumptions!$D$32))^2+((1+B$16)/(1+Assumptions!$D$32))^3+((1+B$16)/(1+Assumptions!$D$32))^4+((1+B$16)/(1+Assumptions!$D$32))^5))+(('Historical Financials'!$G$5*(1+B$16)^5*(($A$18-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63.2963680046479</v>
      </c>
      <c r="C18" s="86" t="n">
        <f aca="false">(('Historical Financials'!$G$5*(($A$18-Assumptions!$C$5*(Assumptions!$D$28+Assumptions!$C$6))*(1-Assumptions!$D$31)+Assumptions!$C$5*(Assumptions!$C$6-Assumptions!$D$29+Assumptions!$D$30))*(((1+C$16)/(1+Assumptions!$D$32))+((1+C$16)/(1+Assumptions!$D$32))^2+((1+C$16)/(1+Assumptions!$D$32))^3+((1+C$16)/(1+Assumptions!$D$32))^4+((1+C$16)/(1+Assumptions!$D$32))^5))+(('Historical Financials'!$G$5*(1+C$16)^5*(($A$18-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71.4128826411426</v>
      </c>
      <c r="D18" s="86" t="n">
        <f aca="false">(('Historical Financials'!$G$5*(($A$18-Assumptions!$C$5*(Assumptions!$D$28+Assumptions!$C$6))*(1-Assumptions!$D$31)+Assumptions!$C$5*(Assumptions!$C$6-Assumptions!$D$29+Assumptions!$D$30))*(((1+D$16)/(1+Assumptions!$D$32))+((1+D$16)/(1+Assumptions!$D$32))^2+((1+D$16)/(1+Assumptions!$D$32))^3+((1+D$16)/(1+Assumptions!$D$32))^4+((1+D$16)/(1+Assumptions!$D$32))^5))+(('Historical Financials'!$G$5*(1+D$16)^5*(($A$18-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80.405784243754</v>
      </c>
      <c r="E18" s="86" t="n">
        <f aca="false">(('Historical Financials'!$G$5*(($A$18-Assumptions!$C$5*(Assumptions!$D$28+Assumptions!$C$6))*(1-Assumptions!$D$31)+Assumptions!$C$5*(Assumptions!$C$6-Assumptions!$D$29+Assumptions!$D$30))*(((1+E$16)/(1+Assumptions!$D$32))+((1+E$16)/(1+Assumptions!$D$32))^2+((1+E$16)/(1+Assumptions!$D$32))^3+((1+E$16)/(1+Assumptions!$D$32))^4+((1+E$16)/(1+Assumptions!$D$32))^5))+(('Historical Financials'!$G$5*(1+E$16)^5*(($A$18-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90.3460221616568</v>
      </c>
      <c r="F18" s="86" t="n">
        <f aca="false">(('Historical Financials'!$G$5*(($A$18-Assumptions!$C$5*(Assumptions!$D$28+Assumptions!$C$6))*(1-Assumptions!$D$31)+Assumptions!$C$5*(Assumptions!$C$6-Assumptions!$D$29+Assumptions!$D$30))*(((1+F$16)/(1+Assumptions!$D$32))+((1+F$16)/(1+Assumptions!$D$32))^2+((1+F$16)/(1+Assumptions!$D$32))^3+((1+F$16)/(1+Assumptions!$D$32))^4+((1+F$16)/(1+Assumptions!$D$32))^5))+(('Historical Financials'!$G$5*(1+F$16)^5*(($A$18-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101.3083149116</v>
      </c>
    </row>
    <row r="19" customFormat="false" ht="15" hidden="false" customHeight="true" outlineLevel="0" collapsed="false">
      <c r="A19" s="85" t="n">
        <v>0.055</v>
      </c>
      <c r="B19" s="86" t="n">
        <f aca="false">(('Historical Financials'!$G$5*(($A$19-Assumptions!$C$5*(Assumptions!$D$28+Assumptions!$C$6))*(1-Assumptions!$D$31)+Assumptions!$C$5*(Assumptions!$C$6-Assumptions!$D$29+Assumptions!$D$30))*(((1+B$16)/(1+Assumptions!$D$32))+((1+B$16)/(1+Assumptions!$D$32))^2+((1+B$16)/(1+Assumptions!$D$32))^3+((1+B$16)/(1+Assumptions!$D$32))^4+((1+B$16)/(1+Assumptions!$D$32))^5))+(('Historical Financials'!$G$5*(1+B$16)^5*(($A$19-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70.6337795637803</v>
      </c>
      <c r="C19" s="86" t="n">
        <f aca="false">(('Historical Financials'!$G$5*(($A$19-Assumptions!$C$5*(Assumptions!$D$28+Assumptions!$C$6))*(1-Assumptions!$D$31)+Assumptions!$C$5*(Assumptions!$C$6-Assumptions!$D$29+Assumptions!$D$30))*(((1+C$16)/(1+Assumptions!$D$32))+((1+C$16)/(1+Assumptions!$D$32))^2+((1+C$16)/(1+Assumptions!$D$32))^3+((1+C$16)/(1+Assumptions!$D$32))^4+((1+C$16)/(1+Assumptions!$D$32))^5))+(('Historical Financials'!$G$5*(1+C$16)^5*(($A$19-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79.7176684233534</v>
      </c>
      <c r="D19" s="87" t="n">
        <f aca="false">(('Historical Financials'!$G$5*(($A$19-Assumptions!$C$5*(Assumptions!$D$28+Assumptions!$C$6))*(1-Assumptions!$D$31)+Assumptions!$C$5*(Assumptions!$C$6-Assumptions!$D$29+Assumptions!$D$30))*(((1+D$16)/(1+Assumptions!$D$32))+((1+D$16)/(1+Assumptions!$D$32))^2+((1+D$16)/(1+Assumptions!$D$32))^3+((1+D$16)/(1+Assumptions!$D$32))^4+((1+D$16)/(1+Assumptions!$D$32))^5))+(('Historical Financials'!$G$5*(1+D$16)^5*(($A$19-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89.7823972314418</v>
      </c>
      <c r="E19" s="86" t="n">
        <f aca="false">(('Historical Financials'!$G$5*(($A$19-Assumptions!$C$5*(Assumptions!$D$28+Assumptions!$C$6))*(1-Assumptions!$D$31)+Assumptions!$C$5*(Assumptions!$C$6-Assumptions!$D$29+Assumptions!$D$30))*(((1+E$16)/(1+Assumptions!$D$32))+((1+E$16)/(1+Assumptions!$D$32))^2+((1+E$16)/(1+Assumptions!$D$32))^3+((1+E$16)/(1+Assumptions!$D$32))^4+((1+E$16)/(1+Assumptions!$D$32))^5))+(('Historical Financials'!$G$5*(1+E$16)^5*(($A$19-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100.907371500316</v>
      </c>
      <c r="F19" s="86" t="n">
        <f aca="false">(('Historical Financials'!$G$5*(($A$19-Assumptions!$C$5*(Assumptions!$D$28+Assumptions!$C$6))*(1-Assumptions!$D$31)+Assumptions!$C$5*(Assumptions!$C$6-Assumptions!$D$29+Assumptions!$D$30))*(((1+F$16)/(1+Assumptions!$D$32))+((1+F$16)/(1+Assumptions!$D$32))^2+((1+F$16)/(1+Assumptions!$D$32))^3+((1+F$16)/(1+Assumptions!$D$32))^4+((1+F$16)/(1+Assumptions!$D$32))^5))+(('Historical Financials'!$G$5*(1+F$16)^5*(($A$19-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113.176215141507</v>
      </c>
    </row>
    <row r="20" customFormat="false" ht="15" hidden="false" customHeight="true" outlineLevel="0" collapsed="false">
      <c r="A20" s="85" t="n">
        <v>0.06</v>
      </c>
      <c r="B20" s="86" t="n">
        <f aca="false">(('Historical Financials'!$G$5*(($A$20-Assumptions!$C$5*(Assumptions!$D$28+Assumptions!$C$6))*(1-Assumptions!$D$31)+Assumptions!$C$5*(Assumptions!$C$6-Assumptions!$D$29+Assumptions!$D$30))*(((1+B$16)/(1+Assumptions!$D$32))+((1+B$16)/(1+Assumptions!$D$32))^2+((1+B$16)/(1+Assumptions!$D$32))^3+((1+B$16)/(1+Assumptions!$D$32))^4+((1+B$16)/(1+Assumptions!$D$32))^5))+(('Historical Financials'!$G$5*(1+B$16)^5*(($A$20-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77.9711911229127</v>
      </c>
      <c r="C20" s="86" t="n">
        <f aca="false">(('Historical Financials'!$G$5*(($A$20-Assumptions!$C$5*(Assumptions!$D$28+Assumptions!$C$6))*(1-Assumptions!$D$31)+Assumptions!$C$5*(Assumptions!$C$6-Assumptions!$D$29+Assumptions!$D$30))*(((1+C$16)/(1+Assumptions!$D$32))+((1+C$16)/(1+Assumptions!$D$32))^2+((1+C$16)/(1+Assumptions!$D$32))^3+((1+C$16)/(1+Assumptions!$D$32))^4+((1+C$16)/(1+Assumptions!$D$32))^5))+(('Historical Financials'!$G$5*(1+C$16)^5*(($A$20-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88.0224542055643</v>
      </c>
      <c r="D20" s="86" t="n">
        <f aca="false">(('Historical Financials'!$G$5*(($A$20-Assumptions!$C$5*(Assumptions!$D$28+Assumptions!$C$6))*(1-Assumptions!$D$31)+Assumptions!$C$5*(Assumptions!$C$6-Assumptions!$D$29+Assumptions!$D$30))*(((1+D$16)/(1+Assumptions!$D$32))+((1+D$16)/(1+Assumptions!$D$32))^2+((1+D$16)/(1+Assumptions!$D$32))^3+((1+D$16)/(1+Assumptions!$D$32))^4+((1+D$16)/(1+Assumptions!$D$32))^5))+(('Historical Financials'!$G$5*(1+D$16)^5*(($A$20-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99.1590102191296</v>
      </c>
      <c r="E20" s="86" t="n">
        <f aca="false">(('Historical Financials'!$G$5*(($A$20-Assumptions!$C$5*(Assumptions!$D$28+Assumptions!$C$6))*(1-Assumptions!$D$31)+Assumptions!$C$5*(Assumptions!$C$6-Assumptions!$D$29+Assumptions!$D$30))*(((1+E$16)/(1+Assumptions!$D$32))+((1+E$16)/(1+Assumptions!$D$32))^2+((1+E$16)/(1+Assumptions!$D$32))^3+((1+E$16)/(1+Assumptions!$D$32))^4+((1+E$16)/(1+Assumptions!$D$32))^5))+(('Historical Financials'!$G$5*(1+E$16)^5*(($A$20-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111.468720838975</v>
      </c>
      <c r="F20" s="86" t="n">
        <f aca="false">(('Historical Financials'!$G$5*(($A$20-Assumptions!$C$5*(Assumptions!$D$28+Assumptions!$C$6))*(1-Assumptions!$D$31)+Assumptions!$C$5*(Assumptions!$C$6-Assumptions!$D$29+Assumptions!$D$30))*(((1+F$16)/(1+Assumptions!$D$32))+((1+F$16)/(1+Assumptions!$D$32))^2+((1+F$16)/(1+Assumptions!$D$32))^3+((1+F$16)/(1+Assumptions!$D$32))^4+((1+F$16)/(1+Assumptions!$D$32))^5))+(('Historical Financials'!$G$5*(1+F$16)^5*(($A$20-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125.044115371414</v>
      </c>
    </row>
    <row r="21" customFormat="false" ht="15" hidden="false" customHeight="true" outlineLevel="0" collapsed="false">
      <c r="A21" s="85" t="n">
        <v>0.065</v>
      </c>
      <c r="B21" s="86" t="n">
        <f aca="false">(('Historical Financials'!$G$5*(($A$21-Assumptions!$C$5*(Assumptions!$D$28+Assumptions!$C$6))*(1-Assumptions!$D$31)+Assumptions!$C$5*(Assumptions!$C$6-Assumptions!$D$29+Assumptions!$D$30))*(((1+B$16)/(1+Assumptions!$D$32))+((1+B$16)/(1+Assumptions!$D$32))^2+((1+B$16)/(1+Assumptions!$D$32))^3+((1+B$16)/(1+Assumptions!$D$32))^4+((1+B$16)/(1+Assumptions!$D$32))^5))+(('Historical Financials'!$G$5*(1+B$16)^5*(($A$21-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85.3086026820451</v>
      </c>
      <c r="C21" s="86" t="n">
        <f aca="false">(('Historical Financials'!$G$5*(($A$21-Assumptions!$C$5*(Assumptions!$D$28+Assumptions!$C$6))*(1-Assumptions!$D$31)+Assumptions!$C$5*(Assumptions!$C$6-Assumptions!$D$29+Assumptions!$D$30))*(((1+C$16)/(1+Assumptions!$D$32))+((1+C$16)/(1+Assumptions!$D$32))^2+((1+C$16)/(1+Assumptions!$D$32))^3+((1+C$16)/(1+Assumptions!$D$32))^4+((1+C$16)/(1+Assumptions!$D$32))^5))+(('Historical Financials'!$G$5*(1+C$16)^5*(($A$21-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96.3272399877751</v>
      </c>
      <c r="D21" s="86" t="n">
        <f aca="false">(('Historical Financials'!$G$5*(($A$21-Assumptions!$C$5*(Assumptions!$D$28+Assumptions!$C$6))*(1-Assumptions!$D$31)+Assumptions!$C$5*(Assumptions!$C$6-Assumptions!$D$29+Assumptions!$D$30))*(((1+D$16)/(1+Assumptions!$D$32))+((1+D$16)/(1+Assumptions!$D$32))^2+((1+D$16)/(1+Assumptions!$D$32))^3+((1+D$16)/(1+Assumptions!$D$32))^4+((1+D$16)/(1+Assumptions!$D$32))^5))+(('Historical Financials'!$G$5*(1+D$16)^5*(($A$21-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108.535623206817</v>
      </c>
      <c r="E21" s="86" t="n">
        <f aca="false">(('Historical Financials'!$G$5*(($A$21-Assumptions!$C$5*(Assumptions!$D$28+Assumptions!$C$6))*(1-Assumptions!$D$31)+Assumptions!$C$5*(Assumptions!$C$6-Assumptions!$D$29+Assumptions!$D$30))*(((1+E$16)/(1+Assumptions!$D$32))+((1+E$16)/(1+Assumptions!$D$32))^2+((1+E$16)/(1+Assumptions!$D$32))^3+((1+E$16)/(1+Assumptions!$D$32))^4+((1+E$16)/(1+Assumptions!$D$32))^5))+(('Historical Financials'!$G$5*(1+E$16)^5*(($A$21-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122.030070177634</v>
      </c>
      <c r="F21" s="86" t="n">
        <f aca="false">(('Historical Financials'!$G$5*(($A$21-Assumptions!$C$5*(Assumptions!$D$28+Assumptions!$C$6))*(1-Assumptions!$D$31)+Assumptions!$C$5*(Assumptions!$C$6-Assumptions!$D$29+Assumptions!$D$30))*(((1+F$16)/(1+Assumptions!$D$32))+((1+F$16)/(1+Assumptions!$D$32))^2+((1+F$16)/(1+Assumptions!$D$32))^3+((1+F$16)/(1+Assumptions!$D$32))^4+((1+F$16)/(1+Assumptions!$D$32))^5))+(('Historical Financials'!$G$5*(1+F$16)^5*(($A$21-Assumptions!$C$5*(Assumptions!$D$28+Assumptions!$C$6))*(1-Assumptions!$D$31)+Assumptions!$C$5*(Assumptions!$C$6-Assumptions!$D$29+Assumptions!$D$30))*(1+Assumptions!$D$33)/(Assumptions!$D$32-Assumptions!$D$33))/(1+Assumptions!$D$32)^5)-Assumptions!$C$11+Assumptions!$C$14)/Assumptions!$C$7</f>
        <v>136.91201560132</v>
      </c>
    </row>
    <row r="24" customFormat="false" ht="15" hidden="false" customHeight="true" outlineLevel="0" collapsed="false">
      <c r="A24" s="29" t="s">
        <v>267</v>
      </c>
      <c r="B24" s="29"/>
      <c r="C24" s="29"/>
      <c r="D24" s="29"/>
      <c r="E24" s="29"/>
      <c r="F24" s="29"/>
      <c r="G24" s="29"/>
      <c r="H24" s="29"/>
      <c r="I24" s="29"/>
    </row>
    <row r="25" customFormat="false" ht="15" hidden="false" customHeight="true" outlineLevel="0" collapsed="false">
      <c r="A25" s="3" t="s">
        <v>268</v>
      </c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true" outlineLevel="0" collapsed="false">
      <c r="A26" s="83" t="s">
        <v>269</v>
      </c>
      <c r="B26" s="84" t="n">
        <v>0.1</v>
      </c>
      <c r="C26" s="84" t="n">
        <v>0.13</v>
      </c>
      <c r="D26" s="84" t="n">
        <v>0.16</v>
      </c>
      <c r="E26" s="84" t="n">
        <v>0.19</v>
      </c>
      <c r="F26" s="84" t="n">
        <v>0.22</v>
      </c>
    </row>
    <row r="27" customFormat="false" ht="15" hidden="false" customHeight="true" outlineLevel="0" collapsed="false">
      <c r="A27" s="88" t="n">
        <v>9</v>
      </c>
      <c r="B27" s="86" t="n">
        <f aca="false">((B$26*(Forecast!D$7/(1+Assumptions!$D$32)^1+Forecast!E$7/(1+Assumptions!$D$32)^2+Forecast!F$7/(1+Assumptions!$D$32)^3+Forecast!G$7/(1+Assumptions!$D$32)^4+Forecast!H$7/(1+Assumptions!$D$32)^5))+(($A$27*Forecast!$H$8)/(1+Assumptions!$D$32)^5)-Assumptions!$C$11+Assumptions!$C$14)/Assumptions!$C$7</f>
        <v>82.9857536914847</v>
      </c>
      <c r="C27" s="86" t="n">
        <f aca="false">((C$26*(Forecast!D$7/(1+Assumptions!$D$32)^1+Forecast!E$7/(1+Assumptions!$D$32)^2+Forecast!F$7/(1+Assumptions!$D$32)^3+Forecast!G$7/(1+Assumptions!$D$32)^4+Forecast!H$7/(1+Assumptions!$D$32)^5))+(($A$27*Forecast!$H$8)/(1+Assumptions!$D$32)^5)-Assumptions!$C$11+Assumptions!$C$14)/Assumptions!$C$7</f>
        <v>87.483646628162</v>
      </c>
      <c r="D27" s="86" t="n">
        <f aca="false">((D$26*(Forecast!D$7/(1+Assumptions!$D$32)^1+Forecast!E$7/(1+Assumptions!$D$32)^2+Forecast!F$7/(1+Assumptions!$D$32)^3+Forecast!G$7/(1+Assumptions!$D$32)^4+Forecast!H$7/(1+Assumptions!$D$32)^5))+(($A$27*Forecast!$H$8)/(1+Assumptions!$D$32)^5)-Assumptions!$C$11+Assumptions!$C$14)/Assumptions!$C$7</f>
        <v>91.9815395648394</v>
      </c>
      <c r="E27" s="86" t="n">
        <f aca="false">((E$26*(Forecast!D$7/(1+Assumptions!$D$32)^1+Forecast!E$7/(1+Assumptions!$D$32)^2+Forecast!F$7/(1+Assumptions!$D$32)^3+Forecast!G$7/(1+Assumptions!$D$32)^4+Forecast!H$7/(1+Assumptions!$D$32)^5))+(($A$27*Forecast!$H$8)/(1+Assumptions!$D$32)^5)-Assumptions!$C$11+Assumptions!$C$14)/Assumptions!$C$7</f>
        <v>96.4794325015167</v>
      </c>
      <c r="F27" s="86" t="n">
        <f aca="false">((F$26*(Forecast!D$7/(1+Assumptions!$D$32)^1+Forecast!E$7/(1+Assumptions!$D$32)^2+Forecast!F$7/(1+Assumptions!$D$32)^3+Forecast!G$7/(1+Assumptions!$D$32)^4+Forecast!H$7/(1+Assumptions!$D$32)^5))+(($A$27*Forecast!$H$8)/(1+Assumptions!$D$32)^5)-Assumptions!$C$11+Assumptions!$C$14)/Assumptions!$C$7</f>
        <v>100.977325438194</v>
      </c>
    </row>
    <row r="28" customFormat="false" ht="15" hidden="false" customHeight="true" outlineLevel="0" collapsed="false">
      <c r="A28" s="88" t="n">
        <v>11</v>
      </c>
      <c r="B28" s="86" t="n">
        <f aca="false">((B$26*(Forecast!D$7/(1+Assumptions!$D$32)^1+Forecast!E$7/(1+Assumptions!$D$32)^2+Forecast!F$7/(1+Assumptions!$D$32)^3+Forecast!G$7/(1+Assumptions!$D$32)^4+Forecast!H$7/(1+Assumptions!$D$32)^5))+(($A$28*Forecast!$H$8)/(1+Assumptions!$D$32)^5)-Assumptions!$C$11+Assumptions!$C$14)/Assumptions!$C$7</f>
        <v>97.7100091992432</v>
      </c>
      <c r="C28" s="86" t="n">
        <f aca="false">((C$26*(Forecast!D$7/(1+Assumptions!$D$32)^1+Forecast!E$7/(1+Assumptions!$D$32)^2+Forecast!F$7/(1+Assumptions!$D$32)^3+Forecast!G$7/(1+Assumptions!$D$32)^4+Forecast!H$7/(1+Assumptions!$D$32)^5))+(($A$28*Forecast!$H$8)/(1+Assumptions!$D$32)^5)-Assumptions!$C$11+Assumptions!$C$14)/Assumptions!$C$7</f>
        <v>102.207902135921</v>
      </c>
      <c r="D28" s="86" t="n">
        <f aca="false">((D$26*(Forecast!D$7/(1+Assumptions!$D$32)^1+Forecast!E$7/(1+Assumptions!$D$32)^2+Forecast!F$7/(1+Assumptions!$D$32)^3+Forecast!G$7/(1+Assumptions!$D$32)^4+Forecast!H$7/(1+Assumptions!$D$32)^5))+(($A$28*Forecast!$H$8)/(1+Assumptions!$D$32)^5)-Assumptions!$C$11+Assumptions!$C$14)/Assumptions!$C$7</f>
        <v>106.705795072598</v>
      </c>
      <c r="E28" s="86" t="n">
        <f aca="false">((E$26*(Forecast!D$7/(1+Assumptions!$D$32)^1+Forecast!E$7/(1+Assumptions!$D$32)^2+Forecast!F$7/(1+Assumptions!$D$32)^3+Forecast!G$7/(1+Assumptions!$D$32)^4+Forecast!H$7/(1+Assumptions!$D$32)^5))+(($A$28*Forecast!$H$8)/(1+Assumptions!$D$32)^5)-Assumptions!$C$11+Assumptions!$C$14)/Assumptions!$C$7</f>
        <v>111.203688009275</v>
      </c>
      <c r="F28" s="86" t="n">
        <f aca="false">((F$26*(Forecast!D$7/(1+Assumptions!$D$32)^1+Forecast!E$7/(1+Assumptions!$D$32)^2+Forecast!F$7/(1+Assumptions!$D$32)^3+Forecast!G$7/(1+Assumptions!$D$32)^4+Forecast!H$7/(1+Assumptions!$D$32)^5))+(($A$28*Forecast!$H$8)/(1+Assumptions!$D$32)^5)-Assumptions!$C$11+Assumptions!$C$14)/Assumptions!$C$7</f>
        <v>115.701580945952</v>
      </c>
    </row>
    <row r="29" customFormat="false" ht="15" hidden="false" customHeight="true" outlineLevel="0" collapsed="false">
      <c r="A29" s="88" t="n">
        <v>13</v>
      </c>
      <c r="B29" s="86" t="n">
        <f aca="false">((B$26*(Forecast!D$7/(1+Assumptions!$D$32)^1+Forecast!E$7/(1+Assumptions!$D$32)^2+Forecast!F$7/(1+Assumptions!$D$32)^3+Forecast!G$7/(1+Assumptions!$D$32)^4+Forecast!H$7/(1+Assumptions!$D$32)^5))+(($A$29*Forecast!$H$8)/(1+Assumptions!$D$32)^5)-Assumptions!$C$11+Assumptions!$C$14)/Assumptions!$C$7</f>
        <v>112.434264707002</v>
      </c>
      <c r="C29" s="86" t="n">
        <f aca="false">((C$26*(Forecast!D$7/(1+Assumptions!$D$32)^1+Forecast!E$7/(1+Assumptions!$D$32)^2+Forecast!F$7/(1+Assumptions!$D$32)^3+Forecast!G$7/(1+Assumptions!$D$32)^4+Forecast!H$7/(1+Assumptions!$D$32)^5))+(($A$29*Forecast!$H$8)/(1+Assumptions!$D$32)^5)-Assumptions!$C$11+Assumptions!$C$14)/Assumptions!$C$7</f>
        <v>116.932157643679</v>
      </c>
      <c r="D29" s="87" t="n">
        <f aca="false">((D$26*(Forecast!D$7/(1+Assumptions!$D$32)^1+Forecast!E$7/(1+Assumptions!$D$32)^2+Forecast!F$7/(1+Assumptions!$D$32)^3+Forecast!G$7/(1+Assumptions!$D$32)^4+Forecast!H$7/(1+Assumptions!$D$32)^5))+(($A$29*Forecast!$H$8)/(1+Assumptions!$D$32)^5)-Assumptions!$C$11+Assumptions!$C$14)/Assumptions!$C$7</f>
        <v>121.430050580356</v>
      </c>
      <c r="E29" s="86" t="n">
        <f aca="false">((E$26*(Forecast!D$7/(1+Assumptions!$D$32)^1+Forecast!E$7/(1+Assumptions!$D$32)^2+Forecast!F$7/(1+Assumptions!$D$32)^3+Forecast!G$7/(1+Assumptions!$D$32)^4+Forecast!H$7/(1+Assumptions!$D$32)^5))+(($A$29*Forecast!$H$8)/(1+Assumptions!$D$32)^5)-Assumptions!$C$11+Assumptions!$C$14)/Assumptions!$C$7</f>
        <v>125.927943517034</v>
      </c>
      <c r="F29" s="86" t="n">
        <f aca="false">((F$26*(Forecast!D$7/(1+Assumptions!$D$32)^1+Forecast!E$7/(1+Assumptions!$D$32)^2+Forecast!F$7/(1+Assumptions!$D$32)^3+Forecast!G$7/(1+Assumptions!$D$32)^4+Forecast!H$7/(1+Assumptions!$D$32)^5))+(($A$29*Forecast!$H$8)/(1+Assumptions!$D$32)^5)-Assumptions!$C$11+Assumptions!$C$14)/Assumptions!$C$7</f>
        <v>130.425836453711</v>
      </c>
    </row>
    <row r="30" customFormat="false" ht="15" hidden="false" customHeight="true" outlineLevel="0" collapsed="false">
      <c r="A30" s="88" t="n">
        <v>15</v>
      </c>
      <c r="B30" s="86" t="n">
        <f aca="false">((B$26*(Forecast!D$7/(1+Assumptions!$D$32)^1+Forecast!E$7/(1+Assumptions!$D$32)^2+Forecast!F$7/(1+Assumptions!$D$32)^3+Forecast!G$7/(1+Assumptions!$D$32)^4+Forecast!H$7/(1+Assumptions!$D$32)^5))+(($A$30*Forecast!$H$8)/(1+Assumptions!$D$32)^5)-Assumptions!$C$11+Assumptions!$C$14)/Assumptions!$C$7</f>
        <v>127.15852021476</v>
      </c>
      <c r="C30" s="86" t="n">
        <f aca="false">((C$26*(Forecast!D$7/(1+Assumptions!$D$32)^1+Forecast!E$7/(1+Assumptions!$D$32)^2+Forecast!F$7/(1+Assumptions!$D$32)^3+Forecast!G$7/(1+Assumptions!$D$32)^4+Forecast!H$7/(1+Assumptions!$D$32)^5))+(($A$30*Forecast!$H$8)/(1+Assumptions!$D$32)^5)-Assumptions!$C$11+Assumptions!$C$14)/Assumptions!$C$7</f>
        <v>131.656413151438</v>
      </c>
      <c r="D30" s="86" t="n">
        <f aca="false">((D$26*(Forecast!D$7/(1+Assumptions!$D$32)^1+Forecast!E$7/(1+Assumptions!$D$32)^2+Forecast!F$7/(1+Assumptions!$D$32)^3+Forecast!G$7/(1+Assumptions!$D$32)^4+Forecast!H$7/(1+Assumptions!$D$32)^5))+(($A$30*Forecast!$H$8)/(1+Assumptions!$D$32)^5)-Assumptions!$C$11+Assumptions!$C$14)/Assumptions!$C$7</f>
        <v>136.154306088115</v>
      </c>
      <c r="E30" s="86" t="n">
        <f aca="false">((E$26*(Forecast!D$7/(1+Assumptions!$D$32)^1+Forecast!E$7/(1+Assumptions!$D$32)^2+Forecast!F$7/(1+Assumptions!$D$32)^3+Forecast!G$7/(1+Assumptions!$D$32)^4+Forecast!H$7/(1+Assumptions!$D$32)^5))+(($A$30*Forecast!$H$8)/(1+Assumptions!$D$32)^5)-Assumptions!$C$11+Assumptions!$C$14)/Assumptions!$C$7</f>
        <v>140.652199024792</v>
      </c>
      <c r="F30" s="86" t="n">
        <f aca="false">((F$26*(Forecast!D$7/(1+Assumptions!$D$32)^1+Forecast!E$7/(1+Assumptions!$D$32)^2+Forecast!F$7/(1+Assumptions!$D$32)^3+Forecast!G$7/(1+Assumptions!$D$32)^4+Forecast!H$7/(1+Assumptions!$D$32)^5))+(($A$30*Forecast!$H$8)/(1+Assumptions!$D$32)^5)-Assumptions!$C$11+Assumptions!$C$14)/Assumptions!$C$7</f>
        <v>145.150091961469</v>
      </c>
    </row>
    <row r="31" customFormat="false" ht="15" hidden="false" customHeight="true" outlineLevel="0" collapsed="false">
      <c r="A31" s="88" t="n">
        <v>17</v>
      </c>
      <c r="B31" s="86" t="n">
        <f aca="false">((B$26*(Forecast!D$7/(1+Assumptions!$D$32)^1+Forecast!E$7/(1+Assumptions!$D$32)^2+Forecast!F$7/(1+Assumptions!$D$32)^3+Forecast!G$7/(1+Assumptions!$D$32)^4+Forecast!H$7/(1+Assumptions!$D$32)^5))+(($A$31*Forecast!$H$8)/(1+Assumptions!$D$32)^5)-Assumptions!$C$11+Assumptions!$C$14)/Assumptions!$C$7</f>
        <v>141.882775722519</v>
      </c>
      <c r="C31" s="86" t="n">
        <f aca="false">((C$26*(Forecast!D$7/(1+Assumptions!$D$32)^1+Forecast!E$7/(1+Assumptions!$D$32)^2+Forecast!F$7/(1+Assumptions!$D$32)^3+Forecast!G$7/(1+Assumptions!$D$32)^4+Forecast!H$7/(1+Assumptions!$D$32)^5))+(($A$31*Forecast!$H$8)/(1+Assumptions!$D$32)^5)-Assumptions!$C$11+Assumptions!$C$14)/Assumptions!$C$7</f>
        <v>146.380668659196</v>
      </c>
      <c r="D31" s="86" t="n">
        <f aca="false">((D$26*(Forecast!D$7/(1+Assumptions!$D$32)^1+Forecast!E$7/(1+Assumptions!$D$32)^2+Forecast!F$7/(1+Assumptions!$D$32)^3+Forecast!G$7/(1+Assumptions!$D$32)^4+Forecast!H$7/(1+Assumptions!$D$32)^5))+(($A$31*Forecast!$H$8)/(1+Assumptions!$D$32)^5)-Assumptions!$C$11+Assumptions!$C$14)/Assumptions!$C$7</f>
        <v>150.878561595873</v>
      </c>
      <c r="E31" s="86" t="n">
        <f aca="false">((E$26*(Forecast!D$7/(1+Assumptions!$D$32)^1+Forecast!E$7/(1+Assumptions!$D$32)^2+Forecast!F$7/(1+Assumptions!$D$32)^3+Forecast!G$7/(1+Assumptions!$D$32)^4+Forecast!H$7/(1+Assumptions!$D$32)^5))+(($A$31*Forecast!$H$8)/(1+Assumptions!$D$32)^5)-Assumptions!$C$11+Assumptions!$C$14)/Assumptions!$C$7</f>
        <v>155.376454532551</v>
      </c>
      <c r="F31" s="86" t="n">
        <f aca="false">((F$26*(Forecast!D$7/(1+Assumptions!$D$32)^1+Forecast!E$7/(1+Assumptions!$D$32)^2+Forecast!F$7/(1+Assumptions!$D$32)^3+Forecast!G$7/(1+Assumptions!$D$32)^4+Forecast!H$7/(1+Assumptions!$D$32)^5))+(($A$31*Forecast!$H$8)/(1+Assumptions!$D$32)^5)-Assumptions!$C$11+Assumptions!$C$14)/Assumptions!$C$7</f>
        <v>159.874347469228</v>
      </c>
    </row>
    <row r="34" customFormat="false" ht="15" hidden="false" customHeight="true" outlineLevel="0" collapsed="false">
      <c r="A34" s="29" t="s">
        <v>270</v>
      </c>
      <c r="B34" s="29"/>
      <c r="C34" s="29"/>
      <c r="D34" s="29"/>
      <c r="E34" s="29"/>
      <c r="F34" s="29"/>
      <c r="G34" s="29"/>
      <c r="H34" s="29"/>
      <c r="I34" s="29"/>
    </row>
    <row r="35" customFormat="false" ht="15" hidden="false" customHeight="true" outlineLevel="0" collapsed="false">
      <c r="A35" s="3" t="s">
        <v>271</v>
      </c>
      <c r="B35" s="3"/>
      <c r="C35" s="3"/>
      <c r="D35" s="3"/>
      <c r="E35" s="3"/>
      <c r="F35" s="3"/>
      <c r="G35" s="3"/>
      <c r="H35" s="3"/>
      <c r="I35" s="3"/>
    </row>
    <row r="36" customFormat="false" ht="15" hidden="false" customHeight="true" outlineLevel="0" collapsed="false">
      <c r="A36" s="83" t="s">
        <v>262</v>
      </c>
      <c r="B36" s="84" t="n">
        <v>0.01</v>
      </c>
      <c r="C36" s="84" t="n">
        <v>0.015</v>
      </c>
      <c r="D36" s="84" t="n">
        <v>0.02</v>
      </c>
      <c r="E36" s="84" t="n">
        <v>0.025</v>
      </c>
      <c r="F36" s="84" t="n">
        <v>0.03</v>
      </c>
    </row>
    <row r="37" customFormat="false" ht="15" hidden="false" customHeight="true" outlineLevel="0" collapsed="false">
      <c r="A37" s="85" t="n">
        <v>0.1</v>
      </c>
      <c r="B37" s="86" t="n">
        <f aca="false">IF($A$37&lt;=B$36,"n/m",(('Scenario Analysis'!D23/(1+$A$37)^1+'Scenario Analysis'!E23/(1+$A$37)^2+'Scenario Analysis'!F23/(1+$A$37)^3+'Scenario Analysis'!G23/(1+$A$37)^4+'Scenario Analysis'!H23/(1+$A$37)^5)+(('Scenario Analysis'!$H$23*(1+B$36)/($A$37-B$36))/(1+$A$37)^5)-Assumptions!$C$11+Assumptions!$C$14)/Assumptions!$C$7)</f>
        <v>34.1975011593184</v>
      </c>
      <c r="C37" s="86" t="n">
        <f aca="false">IF($A$37&lt;=C$36,"n/m",(('Scenario Analysis'!D23/(1+$A$37)^1+'Scenario Analysis'!E23/(1+$A$37)^2+'Scenario Analysis'!F23/(1+$A$37)^3+'Scenario Analysis'!G23/(1+$A$37)^4+'Scenario Analysis'!H23/(1+$A$37)^5)+(('Scenario Analysis'!$H$23*(1+C$36)/($A$37-C$36))/(1+$A$37)^5)-Assumptions!$C$11+Assumptions!$C$14)/Assumptions!$C$7)</f>
        <v>35.6199926927217</v>
      </c>
      <c r="D37" s="86" t="n">
        <f aca="false">IF($A$37&lt;=D$36,"n/m",(('Scenario Analysis'!D23/(1+$A$37)^1+'Scenario Analysis'!E23/(1+$A$37)^2+'Scenario Analysis'!F23/(1+$A$37)^3+'Scenario Analysis'!G23/(1+$A$37)^4+'Scenario Analysis'!H23/(1+$A$37)^5)+(('Scenario Analysis'!$H$23*(1+D$36)/($A$37-D$36))/(1+$A$37)^5)-Assumptions!$C$11+Assumptions!$C$14)/Assumptions!$C$7)</f>
        <v>37.2202956678004</v>
      </c>
      <c r="E37" s="86" t="n">
        <f aca="false">IF($A$37&lt;=E$36,"n/m",(('Scenario Analysis'!D23/(1+$A$37)^1+'Scenario Analysis'!E23/(1+$A$37)^2+'Scenario Analysis'!F23/(1+$A$37)^3+'Scenario Analysis'!G23/(1+$A$37)^4+'Scenario Analysis'!H23/(1+$A$37)^5)+(('Scenario Analysis'!$H$23*(1+E$36)/($A$37-E$36))/(1+$A$37)^5)-Assumptions!$C$11+Assumptions!$C$14)/Assumptions!$C$7)</f>
        <v>39.0339723728895</v>
      </c>
      <c r="F37" s="86" t="n">
        <f aca="false">IF($A$37&lt;=F$36,"n/m",(('Scenario Analysis'!D23/(1+$A$37)^1+'Scenario Analysis'!E23/(1+$A$37)^2+'Scenario Analysis'!F23/(1+$A$37)^3+'Scenario Analysis'!G23/(1+$A$37)^4+'Scenario Analysis'!H23/(1+$A$37)^5)+(('Scenario Analysis'!$H$23*(1+F$36)/($A$37-F$36))/(1+$A$37)^5)-Assumptions!$C$11+Assumptions!$C$14)/Assumptions!$C$7)</f>
        <v>41.1067457501343</v>
      </c>
    </row>
    <row r="38" customFormat="false" ht="15" hidden="false" customHeight="true" outlineLevel="0" collapsed="false">
      <c r="A38" s="85" t="n">
        <v>0.11</v>
      </c>
      <c r="B38" s="86" t="n">
        <f aca="false">IF($A$38&lt;=B$36,"n/m",(('Scenario Analysis'!D23/(1+$A$38)^1+'Scenario Analysis'!E23/(1+$A$38)^2+'Scenario Analysis'!F23/(1+$A$38)^3+'Scenario Analysis'!G23/(1+$A$38)^4+'Scenario Analysis'!H23/(1+$A$38)^5)+(('Scenario Analysis'!$H$23*(1+B$36)/($A$38-B$36))/(1+$A$38)^5)-Assumptions!$C$11+Assumptions!$C$14)/Assumptions!$C$7)</f>
        <v>30.82382447048</v>
      </c>
      <c r="C38" s="86" t="n">
        <f aca="false">IF($A$38&lt;=C$36,"n/m",(('Scenario Analysis'!D23/(1+$A$38)^1+'Scenario Analysis'!E23/(1+$A$38)^2+'Scenario Analysis'!F23/(1+$A$38)^3+'Scenario Analysis'!G23/(1+$A$38)^4+'Scenario Analysis'!H23/(1+$A$38)^5)+(('Scenario Analysis'!$H$23*(1+C$36)/($A$38-C$36))/(1+$A$38)^5)-Assumptions!$C$11+Assumptions!$C$14)/Assumptions!$C$7)</f>
        <v>31.9285804109696</v>
      </c>
      <c r="D38" s="89" t="n">
        <f aca="false">IF($A$38&lt;=D$36,"n/m",(('Scenario Analysis'!D23/(1+$A$38)^1+'Scenario Analysis'!E23/(1+$A$38)^2+'Scenario Analysis'!F23/(1+$A$38)^3+'Scenario Analysis'!G23/(1+$A$38)^4+'Scenario Analysis'!H23/(1+$A$38)^5)+(('Scenario Analysis'!$H$23*(1+D$36)/($A$38-D$36))/(1+$A$38)^5)-Assumptions!$C$11+Assumptions!$C$14)/Assumptions!$C$7)</f>
        <v>33.1560870115137</v>
      </c>
      <c r="E38" s="86" t="n">
        <f aca="false">IF($A$38&lt;=E$36,"n/m",(('Scenario Analysis'!D23/(1+$A$38)^1+'Scenario Analysis'!E23/(1+$A$38)^2+'Scenario Analysis'!F23/(1+$A$38)^3+'Scenario Analysis'!G23/(1+$A$38)^4+'Scenario Analysis'!H23/(1+$A$38)^5)+(('Scenario Analysis'!$H$23*(1+E$36)/($A$38-E$36))/(1+$A$38)^5)-Assumptions!$C$11+Assumptions!$C$14)/Assumptions!$C$7)</f>
        <v>34.5280061532983</v>
      </c>
      <c r="F38" s="86" t="n">
        <f aca="false">IF($A$38&lt;=F$36,"n/m",(('Scenario Analysis'!D23/(1+$A$38)^1+'Scenario Analysis'!E23/(1+$A$38)^2+'Scenario Analysis'!F23/(1+$A$38)^3+'Scenario Analysis'!G23/(1+$A$38)^4+'Scenario Analysis'!H23/(1+$A$38)^5)+(('Scenario Analysis'!$H$23*(1+F$36)/($A$38-F$36))/(1+$A$38)^5)-Assumptions!$C$11+Assumptions!$C$14)/Assumptions!$C$7)</f>
        <v>36.0714151878059</v>
      </c>
    </row>
    <row r="39" customFormat="false" ht="15" hidden="false" customHeight="true" outlineLevel="0" collapsed="false">
      <c r="A39" s="85" t="n">
        <v>0.12</v>
      </c>
      <c r="B39" s="86" t="n">
        <f aca="false">IF($A$39&lt;=B$36,"n/m",(('Scenario Analysis'!D23/(1+$A$39)^1+'Scenario Analysis'!E23/(1+$A$39)^2+'Scenario Analysis'!F23/(1+$A$39)^3+'Scenario Analysis'!G23/(1+$A$39)^4+'Scenario Analysis'!H23/(1+$A$39)^5)+(('Scenario Analysis'!$H$23*(1+B$36)/($A$39-B$36))/(1+$A$39)^5)-Assumptions!$C$11+Assumptions!$C$14)/Assumptions!$C$7)</f>
        <v>28.0678588067953</v>
      </c>
      <c r="C39" s="86" t="n">
        <f aca="false">IF($A$39&lt;=C$36,"n/m",(('Scenario Analysis'!D23/(1+$A$39)^1+'Scenario Analysis'!E23/(1+$A$39)^2+'Scenario Analysis'!F23/(1+$A$39)^3+'Scenario Analysis'!G23/(1+$A$39)^4+'Scenario Analysis'!H23/(1+$A$39)^5)+(('Scenario Analysis'!$H$23*(1+C$36)/($A$39-C$36))/(1+$A$39)^5)-Assumptions!$C$11+Assumptions!$C$14)/Assumptions!$C$7)</f>
        <v>28.9445119434662</v>
      </c>
      <c r="D39" s="86" t="n">
        <f aca="false">IF($A$39&lt;=D$36,"n/m",(('Scenario Analysis'!D23/(1+$A$39)^1+'Scenario Analysis'!E23/(1+$A$39)^2+'Scenario Analysis'!F23/(1+$A$39)^3+'Scenario Analysis'!G23/(1+$A$39)^4+'Scenario Analysis'!H23/(1+$A$39)^5)+(('Scenario Analysis'!$H$23*(1+D$36)/($A$39-D$36))/(1+$A$39)^5)-Assumptions!$C$11+Assumptions!$C$14)/Assumptions!$C$7)</f>
        <v>29.9088303938042</v>
      </c>
      <c r="E39" s="86" t="n">
        <f aca="false">IF($A$39&lt;=E$36,"n/m",(('Scenario Analysis'!D23/(1+$A$39)^1+'Scenario Analysis'!E23/(1+$A$39)^2+'Scenario Analysis'!F23/(1+$A$39)^3+'Scenario Analysis'!G23/(1+$A$39)^4+'Scenario Analysis'!H23/(1+$A$39)^5)+(('Scenario Analysis'!$H$23*(1+E$36)/($A$39-E$36))/(1+$A$39)^5)-Assumptions!$C$11+Assumptions!$C$14)/Assumptions!$C$7)</f>
        <v>30.9746560494409</v>
      </c>
      <c r="F39" s="86" t="n">
        <f aca="false">IF($A$39&lt;=F$36,"n/m",(('Scenario Analysis'!D23/(1+$A$39)^1+'Scenario Analysis'!E23/(1+$A$39)^2+'Scenario Analysis'!F23/(1+$A$39)^3+'Scenario Analysis'!G23/(1+$A$39)^4+'Scenario Analysis'!H23/(1+$A$39)^5)+(('Scenario Analysis'!$H$23*(1+F$36)/($A$39-F$36))/(1+$A$39)^5)-Assumptions!$C$11+Assumptions!$C$14)/Assumptions!$C$7)</f>
        <v>32.1589067779261</v>
      </c>
    </row>
    <row r="40" customFormat="false" ht="15" hidden="false" customHeight="true" outlineLevel="0" collapsed="false">
      <c r="A40" s="85" t="n">
        <v>0.13</v>
      </c>
      <c r="B40" s="86" t="n">
        <f aca="false">IF($A$40&lt;=B$36,"n/m",(('Scenario Analysis'!D23/(1+$A$40)^1+'Scenario Analysis'!E23/(1+$A$40)^2+'Scenario Analysis'!F23/(1+$A$40)^3+'Scenario Analysis'!G23/(1+$A$40)^4+'Scenario Analysis'!H23/(1+$A$40)^5)+(('Scenario Analysis'!$H$23*(1+B$36)/($A$40-B$36))/(1+$A$40)^5)-Assumptions!$C$11+Assumptions!$C$14)/Assumptions!$C$7)</f>
        <v>25.7749886775227</v>
      </c>
      <c r="C40" s="86" t="n">
        <f aca="false">IF($A$40&lt;=C$36,"n/m",(('Scenario Analysis'!D23/(1+$A$40)^1+'Scenario Analysis'!E23/(1+$A$40)^2+'Scenario Analysis'!F23/(1+$A$40)^3+'Scenario Analysis'!G23/(1+$A$40)^4+'Scenario Analysis'!H23/(1+$A$40)^5)+(('Scenario Analysis'!$H$23*(1+C$36)/($A$40-C$36))/(1+$A$40)^5)-Assumptions!$C$11+Assumptions!$C$14)/Assumptions!$C$7)</f>
        <v>26.4830795653308</v>
      </c>
      <c r="D40" s="86" t="n">
        <f aca="false">IF($A$40&lt;=D$36,"n/m",(('Scenario Analysis'!D23/(1+$A$40)^1+'Scenario Analysis'!E23/(1+$A$40)^2+'Scenario Analysis'!F23/(1+$A$40)^3+'Scenario Analysis'!G23/(1+$A$40)^4+'Scenario Analysis'!H23/(1+$A$40)^5)+(('Scenario Analysis'!$H$23*(1+D$36)/($A$40-D$36))/(1+$A$40)^5)-Assumptions!$C$11+Assumptions!$C$14)/Assumptions!$C$7)</f>
        <v>27.2555423520306</v>
      </c>
      <c r="E40" s="86" t="n">
        <f aca="false">IF($A$40&lt;=E$36,"n/m",(('Scenario Analysis'!D23/(1+$A$40)^1+'Scenario Analysis'!E23/(1+$A$40)^2+'Scenario Analysis'!F23/(1+$A$40)^3+'Scenario Analysis'!G23/(1+$A$40)^4+'Scenario Analysis'!H23/(1+$A$40)^5)+(('Scenario Analysis'!$H$23*(1+E$36)/($A$40-E$36))/(1+$A$40)^5)-Assumptions!$C$11+Assumptions!$C$14)/Assumptions!$C$7)</f>
        <v>28.101573023178</v>
      </c>
      <c r="F40" s="86" t="n">
        <f aca="false">IF($A$40&lt;=F$36,"n/m",(('Scenario Analysis'!D23/(1+$A$40)^1+'Scenario Analysis'!E23/(1+$A$40)^2+'Scenario Analysis'!F23/(1+$A$40)^3+'Scenario Analysis'!G23/(1+$A$40)^4+'Scenario Analysis'!H23/(1+$A$40)^5)+(('Scenario Analysis'!$H$23*(1+F$36)/($A$40-F$36))/(1+$A$40)^5)-Assumptions!$C$11+Assumptions!$C$14)/Assumptions!$C$7)</f>
        <v>29.0322067614401</v>
      </c>
    </row>
    <row r="41" customFormat="false" ht="15" hidden="false" customHeight="true" outlineLevel="0" collapsed="false">
      <c r="A41" s="85" t="n">
        <v>0.14</v>
      </c>
      <c r="B41" s="86" t="n">
        <f aca="false">IF($A$41&lt;=B$36,"n/m",(('Scenario Analysis'!D23/(1+$A$41)^1+'Scenario Analysis'!E23/(1+$A$41)^2+'Scenario Analysis'!F23/(1+$A$41)^3+'Scenario Analysis'!G23/(1+$A$41)^4+'Scenario Analysis'!H23/(1+$A$41)^5)+(('Scenario Analysis'!$H$23*(1+B$36)/($A$41-B$36))/(1+$A$41)^5)-Assumptions!$C$11+Assumptions!$C$14)/Assumptions!$C$7)</f>
        <v>23.8381824171967</v>
      </c>
      <c r="C41" s="86" t="n">
        <f aca="false">IF($A$41&lt;=C$36,"n/m",(('Scenario Analysis'!D23/(1+$A$41)^1+'Scenario Analysis'!E23/(1+$A$41)^2+'Scenario Analysis'!F23/(1+$A$41)^3+'Scenario Analysis'!G23/(1+$A$41)^4+'Scenario Analysis'!H23/(1+$A$41)^5)+(('Scenario Analysis'!$H$23*(1+C$36)/($A$41-C$36))/(1+$A$41)^5)-Assumptions!$C$11+Assumptions!$C$14)/Assumptions!$C$7)</f>
        <v>24.4186916016999</v>
      </c>
      <c r="D41" s="86" t="n">
        <f aca="false">IF($A$41&lt;=D$36,"n/m",(('Scenario Analysis'!D23/(1+$A$41)^1+'Scenario Analysis'!E23/(1+$A$41)^2+'Scenario Analysis'!F23/(1+$A$41)^3+'Scenario Analysis'!G23/(1+$A$41)^4+'Scenario Analysis'!H23/(1+$A$41)^5)+(('Scenario Analysis'!$H$23*(1+D$36)/($A$41-D$36))/(1+$A$41)^5)-Assumptions!$C$11+Assumptions!$C$14)/Assumptions!$C$7)</f>
        <v>25.0475765515784</v>
      </c>
      <c r="E41" s="86" t="n">
        <f aca="false">IF($A$41&lt;=E$36,"n/m",(('Scenario Analysis'!D23/(1+$A$41)^1+'Scenario Analysis'!E23/(1+$A$41)^2+'Scenario Analysis'!F23/(1+$A$41)^3+'Scenario Analysis'!G23/(1+$A$41)^4+'Scenario Analysis'!H23/(1+$A$41)^5)+(('Scenario Analysis'!$H$23*(1+E$36)/($A$41-E$36))/(1+$A$41)^5)-Assumptions!$C$11+Assumptions!$C$14)/Assumptions!$C$7)</f>
        <v>25.7311471492725</v>
      </c>
      <c r="F41" s="86" t="n">
        <f aca="false">IF($A$41&lt;=F$36,"n/m",(('Scenario Analysis'!D23/(1+$A$41)^1+'Scenario Analysis'!E23/(1+$A$41)^2+'Scenario Analysis'!F23/(1+$A$41)^3+'Scenario Analysis'!G23/(1+$A$41)^4+'Scenario Analysis'!H23/(1+$A$41)^5)+(('Scenario Analysis'!$H$23*(1+F$36)/($A$41-F$36))/(1+$A$41)^5)-Assumptions!$C$11+Assumptions!$C$14)/Assumptions!$C$7)</f>
        <v>26.4768605285751</v>
      </c>
    </row>
    <row r="43" customFormat="false" ht="15" hidden="false" customHeight="true" outlineLevel="0" collapsed="false">
      <c r="A43" s="19" t="s">
        <v>272</v>
      </c>
      <c r="B43" s="19"/>
      <c r="C43" s="19"/>
      <c r="D43" s="19"/>
      <c r="E43" s="19"/>
      <c r="F43" s="19"/>
      <c r="G43" s="19"/>
      <c r="H43" s="19"/>
      <c r="I43" s="19"/>
    </row>
    <row r="44" customFormat="false" ht="1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</row>
  </sheetData>
  <mergeCells count="11">
    <mergeCell ref="A1:I1"/>
    <mergeCell ref="A2:I2"/>
    <mergeCell ref="A4:I4"/>
    <mergeCell ref="A11:I12"/>
    <mergeCell ref="A14:I14"/>
    <mergeCell ref="A15:I15"/>
    <mergeCell ref="A24:I24"/>
    <mergeCell ref="A25:I25"/>
    <mergeCell ref="A34:I34"/>
    <mergeCell ref="A35:I35"/>
    <mergeCell ref="A43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5700"/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2"/>
  </cols>
  <sheetData>
    <row r="1" customFormat="false" ht="25.5" hidden="false" customHeight="true" outlineLevel="0" collapsed="false">
      <c r="A1" s="2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71" t="s">
        <v>95</v>
      </c>
      <c r="B3" s="90" t="n">
        <v>2021</v>
      </c>
      <c r="C3" s="90" t="n">
        <v>2022</v>
      </c>
      <c r="D3" s="90" t="n">
        <v>2023</v>
      </c>
      <c r="E3" s="90" t="n">
        <v>2024</v>
      </c>
      <c r="F3" s="90" t="n">
        <v>2025</v>
      </c>
      <c r="G3" s="90" t="n">
        <v>2026</v>
      </c>
      <c r="H3" s="90" t="n">
        <v>2027</v>
      </c>
      <c r="I3" s="90" t="n">
        <v>2028</v>
      </c>
      <c r="J3" s="90" t="n">
        <v>2029</v>
      </c>
      <c r="K3" s="90" t="n">
        <v>2030</v>
      </c>
    </row>
    <row r="4" customFormat="false" ht="15" hidden="false" customHeight="true" outlineLevel="0" collapsed="false">
      <c r="A4" s="33" t="s">
        <v>11</v>
      </c>
      <c r="B4" s="57" t="n">
        <f aca="false">'Historical Financials'!C5</f>
        <v>90415</v>
      </c>
      <c r="C4" s="57" t="n">
        <f aca="false">'Historical Financials'!D5</f>
        <v>115395</v>
      </c>
      <c r="D4" s="57" t="n">
        <f aca="false">'Historical Financials'!E5</f>
        <v>137865</v>
      </c>
      <c r="E4" s="57" t="n">
        <f aca="false">'Historical Financials'!F5</f>
        <v>162773</v>
      </c>
      <c r="F4" s="57" t="n">
        <f aca="false">'Historical Financials'!G5</f>
        <v>193454</v>
      </c>
      <c r="G4" s="57" t="n">
        <f aca="false">Forecast!D5</f>
        <v>228275.72</v>
      </c>
      <c r="H4" s="57" t="n">
        <f aca="false">Forecast!E5</f>
        <v>264799.8352</v>
      </c>
      <c r="I4" s="57" t="n">
        <f aca="false">Forecast!F5</f>
        <v>301871.812128</v>
      </c>
      <c r="J4" s="57" t="n">
        <f aca="false">Forecast!G5</f>
        <v>338096.42958336</v>
      </c>
      <c r="K4" s="57" t="n">
        <f aca="false">Forecast!H5</f>
        <v>375287.03683753</v>
      </c>
    </row>
    <row r="5" customFormat="false" ht="15" hidden="false" customHeight="true" outlineLevel="0" collapsed="false">
      <c r="A5" s="33" t="s">
        <v>13</v>
      </c>
      <c r="B5" s="57" t="n">
        <f aca="false">'Historical Financials'!C7</f>
        <v>17455</v>
      </c>
      <c r="C5" s="57" t="n">
        <f aca="false">'Historical Financials'!D7</f>
        <v>31877</v>
      </c>
      <c r="D5" s="57" t="n">
        <f aca="false">'Historical Financials'!E7</f>
        <v>37281</v>
      </c>
      <c r="E5" s="57" t="n">
        <f aca="false">'Historical Financials'!F7</f>
        <v>43978</v>
      </c>
      <c r="F5" s="57" t="n">
        <f aca="false">'Historical Financials'!G7</f>
        <v>52017</v>
      </c>
      <c r="G5" s="57" t="n">
        <f aca="false">Forecast!D7</f>
        <v>61634.4444</v>
      </c>
      <c r="H5" s="57" t="n">
        <f aca="false">Forecast!E7</f>
        <v>71495.955504</v>
      </c>
      <c r="I5" s="57" t="n">
        <f aca="false">Forecast!F7</f>
        <v>81505.38927456</v>
      </c>
      <c r="J5" s="57" t="n">
        <f aca="false">Forecast!G7</f>
        <v>91286.0359875072</v>
      </c>
      <c r="K5" s="57" t="n">
        <f aca="false">Forecast!H7</f>
        <v>101327.499946133</v>
      </c>
    </row>
    <row r="6" customFormat="false" ht="15" hidden="false" customHeight="true" outlineLevel="0" collapsed="false">
      <c r="A6" s="33" t="s">
        <v>194</v>
      </c>
      <c r="B6" s="57" t="n">
        <f aca="false">'Historical Financials'!C10</f>
        <v>-774</v>
      </c>
      <c r="C6" s="57" t="n">
        <f aca="false">'Historical Financials'!D10</f>
        <v>1713</v>
      </c>
      <c r="D6" s="57" t="n">
        <f aca="false">'Historical Financials'!E10</f>
        <v>4052</v>
      </c>
      <c r="E6" s="57" t="n">
        <f aca="false">'Historical Financials'!F10</f>
        <v>6484</v>
      </c>
      <c r="F6" s="57" t="n">
        <f aca="false">'Historical Financials'!G10</f>
        <v>8730</v>
      </c>
      <c r="G6" s="57" t="n">
        <f aca="false">Forecast!D8</f>
        <v>10957.23456</v>
      </c>
      <c r="H6" s="57" t="n">
        <f aca="false">Forecast!E8</f>
        <v>13769.5914304</v>
      </c>
      <c r="I6" s="57" t="n">
        <f aca="false">Forecast!F8</f>
        <v>16904.821479168</v>
      </c>
      <c r="J6" s="57" t="n">
        <f aca="false">Forecast!G8</f>
        <v>20285.7857750016</v>
      </c>
      <c r="K6" s="57" t="n">
        <f aca="false">Forecast!H8</f>
        <v>23643.0833207644</v>
      </c>
    </row>
    <row r="7" customFormat="false" ht="15" hidden="false" customHeight="true" outlineLevel="0" collapsed="false">
      <c r="A7" s="33" t="s">
        <v>275</v>
      </c>
      <c r="B7" s="34" t="n">
        <f aca="false">B6/B4</f>
        <v>-0.00856052646131726</v>
      </c>
      <c r="C7" s="34" t="n">
        <f aca="false">C6/C4</f>
        <v>0.0148446639802418</v>
      </c>
      <c r="D7" s="34" t="n">
        <f aca="false">D6/D4</f>
        <v>0.0293910709752294</v>
      </c>
      <c r="E7" s="34" t="n">
        <f aca="false">E6/E4</f>
        <v>0.0398346163061441</v>
      </c>
      <c r="F7" s="34" t="n">
        <f aca="false">F6/F4</f>
        <v>0.0451270069370496</v>
      </c>
      <c r="G7" s="34" t="n">
        <f aca="false">G6/G4</f>
        <v>0.048</v>
      </c>
      <c r="H7" s="34" t="n">
        <f aca="false">H6/H4</f>
        <v>0.052</v>
      </c>
      <c r="I7" s="34" t="n">
        <f aca="false">I6/I4</f>
        <v>0.056</v>
      </c>
      <c r="J7" s="34" t="n">
        <f aca="false">J6/J4</f>
        <v>0.06</v>
      </c>
      <c r="K7" s="34" t="n">
        <f aca="false">K6/K4</f>
        <v>0.063</v>
      </c>
    </row>
    <row r="8" customFormat="false" ht="15" hidden="false" customHeight="true" outlineLevel="0" collapsed="false">
      <c r="A8" s="33" t="s">
        <v>276</v>
      </c>
      <c r="B8" s="57" t="n">
        <f aca="false">'Historical Financials'!C15</f>
        <v>-743</v>
      </c>
      <c r="C8" s="57" t="n">
        <f aca="false">'Historical Financials'!D15</f>
        <v>390</v>
      </c>
      <c r="D8" s="57" t="n">
        <f aca="false">'Historical Financials'!E15</f>
        <v>3362</v>
      </c>
      <c r="E8" s="57" t="n">
        <f aca="false">'Historical Financials'!F15</f>
        <v>6895</v>
      </c>
      <c r="F8" s="57" t="n">
        <f aca="false">'Historical Financials'!G15</f>
        <v>9763</v>
      </c>
      <c r="G8" s="57" t="n">
        <f aca="false">Forecast!D18</f>
        <v>7204.72413678</v>
      </c>
      <c r="H8" s="57" t="n">
        <f aca="false">Forecast!E18</f>
        <v>9194.2474778968</v>
      </c>
      <c r="I8" s="57" t="n">
        <f aca="false">Forecast!F18</f>
        <v>11435.3570511268</v>
      </c>
      <c r="J8" s="57" t="n">
        <f aca="false">Forecast!G18</f>
        <v>13875.9846147455</v>
      </c>
      <c r="K8" s="57" t="n">
        <f aca="false">Forecast!H18</f>
        <v>16291.7731996724</v>
      </c>
    </row>
    <row r="9" customFormat="false" ht="15" hidden="false" customHeight="true" outlineLevel="0" collapsed="false">
      <c r="A9" s="91" t="s">
        <v>277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</row>
    <row r="11" customFormat="false" ht="15" hidden="false" customHeight="true" outlineLevel="0" collapsed="false">
      <c r="A11" s="71" t="s">
        <v>243</v>
      </c>
      <c r="B11" s="90" t="s">
        <v>163</v>
      </c>
      <c r="C11" s="90" t="s">
        <v>164</v>
      </c>
      <c r="D11" s="90" t="s">
        <v>165</v>
      </c>
      <c r="E11" s="90" t="s">
        <v>278</v>
      </c>
      <c r="F11" s="90" t="s">
        <v>279</v>
      </c>
    </row>
    <row r="12" customFormat="false" ht="15" hidden="false" customHeight="true" outlineLevel="0" collapsed="false">
      <c r="B12" s="92" t="n">
        <f aca="false">'Scenario Analysis'!C10</f>
        <v>33.1560870115137</v>
      </c>
      <c r="C12" s="93" t="n">
        <f aca="false">'Scenario Analysis'!D10</f>
        <v>103.179664836152</v>
      </c>
      <c r="D12" s="94" t="n">
        <f aca="false">'Scenario Analysis'!E10</f>
        <v>163.615645768193</v>
      </c>
      <c r="E12" s="95" t="n">
        <f aca="false">'Scenario Analysis'!C14</f>
        <v>100.782765613003</v>
      </c>
      <c r="F12" s="96" t="n">
        <f aca="false">Assumptions!C8</f>
        <v>73</v>
      </c>
    </row>
  </sheetData>
  <mergeCells count="3">
    <mergeCell ref="A1:L1"/>
    <mergeCell ref="A2:L2"/>
    <mergeCell ref="A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2026-06-17T01:58:31Z</dcterms:created>
  <dc:creator>openpyxl</dc:creator>
  <dc:description/>
  <dc:language>en-US</dc:language>
  <cp:lastModifiedBy/>
  <dcterms:modified xsi:type="dcterms:W3CDTF">2026-06-17T05:47:03Z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